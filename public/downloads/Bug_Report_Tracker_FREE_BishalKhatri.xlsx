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 Form" sheetId="1" state="visible" r:id="rId3"/>
    <sheet name="Bug Log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<sst xmlns="http://schemas.openxmlformats.org/spreadsheetml/2006/main" count="153" uniqueCount="125">
  <si>
    <t xml:space="preserve">🐛   BUG REPORT FORM</t>
  </si>
  <si>
    <t xml:space="preserve">DevTrack  ·  Professional Bug Tracking System</t>
  </si>
  <si>
    <t xml:space="preserve">Bug ID (auto)</t>
  </si>
  <si>
    <t xml:space="preserve">Date</t>
  </si>
  <si>
    <t xml:space="preserve">  ▸  SEVERITY &amp; CLASSIFICATION</t>
  </si>
  <si>
    <t xml:space="preserve">Severity Level  *</t>
  </si>
  <si>
    <t xml:space="preserve">— Select Severity —</t>
  </si>
  <si>
    <t xml:space="preserve">Priority</t>
  </si>
  <si>
    <t xml:space="preserve">— Select Priority —</t>
  </si>
  <si>
    <t xml:space="preserve">Bug Title  *</t>
  </si>
  <si>
    <t xml:space="preserve">Component / Module  *</t>
  </si>
  <si>
    <t xml:space="preserve">— Select Component —</t>
  </si>
  <si>
    <t xml:space="preserve">Reproducibility</t>
  </si>
  <si>
    <t xml:space="preserve">— Select —</t>
  </si>
  <si>
    <t xml:space="preserve">Brief Description  *</t>
  </si>
  <si>
    <t xml:space="preserve">  ▸  ENVIRONMENT DETAILS</t>
  </si>
  <si>
    <t xml:space="preserve">Operating System</t>
  </si>
  <si>
    <t xml:space="preserve">— Select OS —</t>
  </si>
  <si>
    <t xml:space="preserve">Browser</t>
  </si>
  <si>
    <t xml:space="preserve">— Select Browser —</t>
  </si>
  <si>
    <t xml:space="preserve">App Version</t>
  </si>
  <si>
    <t xml:space="preserve">Environment</t>
  </si>
  <si>
    <t xml:space="preserve">  ▸  STEPS TO REPRODUCE</t>
  </si>
  <si>
    <t xml:space="preserve">Step 1</t>
  </si>
  <si>
    <t xml:space="preserve">Step 2</t>
  </si>
  <si>
    <t xml:space="preserve">Step 3</t>
  </si>
  <si>
    <t xml:space="preserve">Step 4</t>
  </si>
  <si>
    <t xml:space="preserve">Step 5</t>
  </si>
  <si>
    <t xml:space="preserve">Step 6</t>
  </si>
  <si>
    <t xml:space="preserve">Step 7</t>
  </si>
  <si>
    <t xml:space="preserve">Step 8</t>
  </si>
  <si>
    <t xml:space="preserve">  ▸  EXPECTED  vs  ACTUAL RESULTS</t>
  </si>
  <si>
    <t xml:space="preserve">✅  EXPECTED — What should happen</t>
  </si>
  <si>
    <t xml:space="preserve">❌  ACTUAL — What actually happens</t>
  </si>
  <si>
    <t xml:space="preserve">  ▸  ADDITIONAL INFORMATION</t>
  </si>
  <si>
    <t xml:space="preserve">Assigned To</t>
  </si>
  <si>
    <t xml:space="preserve">— Unassigned —</t>
  </si>
  <si>
    <t xml:space="preserve">Labels / Tags</t>
  </si>
  <si>
    <t xml:space="preserve">Error / Stack Trace</t>
  </si>
  <si>
    <t xml:space="preserve">  ▸  SEVERITY LEGEND</t>
  </si>
  <si>
    <t xml:space="preserve">🔴 Blocker</t>
  </si>
  <si>
    <t xml:space="preserve">System crash / data loss / security breach. No workaround.</t>
  </si>
  <si>
    <t xml:space="preserve">🟠 Critical</t>
  </si>
  <si>
    <t xml:space="preserve">Core feature broken. Major performance issue. Difficult workaround.</t>
  </si>
  <si>
    <t xml:space="preserve">🟡 Major</t>
  </si>
  <si>
    <t xml:space="preserve">Important feature impaired. Workaround possible but inconvenient.</t>
  </si>
  <si>
    <t xml:space="preserve">🔵 Minor</t>
  </si>
  <si>
    <t xml:space="preserve">Small issue or cosmetic problem. Easy workaround.</t>
  </si>
  <si>
    <t xml:space="preserve">🟢 Trivial</t>
  </si>
  <si>
    <t xml:space="preserve">Typo or minor polish. Low impact on functionality.</t>
  </si>
  <si>
    <t xml:space="preserve">*  Required fields must be filled before logging to the Bug Log sheet</t>
  </si>
  <si>
    <t xml:space="preserve">🗂️   BUG LOG  —  All Reported Issues</t>
  </si>
  <si>
    <t xml:space="preserve">Add a new row for each bug. Use dropdowns in Severity, Status columns. Dashboard auto-updates.</t>
  </si>
  <si>
    <t xml:space="preserve">Bug ID</t>
  </si>
  <si>
    <t xml:space="preserve">Date Reported</t>
  </si>
  <si>
    <t xml:space="preserve">Title</t>
  </si>
  <si>
    <t xml:space="preserve">Severity</t>
  </si>
  <si>
    <t xml:space="preserve">Component</t>
  </si>
  <si>
    <t xml:space="preserve">OS / Browser</t>
  </si>
  <si>
    <t xml:space="preserve">Status</t>
  </si>
  <si>
    <t xml:space="preserve">Steps #</t>
  </si>
  <si>
    <t xml:space="preserve">BUG-20260614-001</t>
  </si>
  <si>
    <t xml:space="preserve">Login fails with SSO on Safari 17</t>
  </si>
  <si>
    <t xml:space="preserve">P0 — Immediate</t>
  </si>
  <si>
    <t xml:space="preserve">Authentication</t>
  </si>
  <si>
    <t xml:space="preserve">macOS 14 / Safari</t>
  </si>
  <si>
    <t xml:space="preserve">Always (100%)</t>
  </si>
  <si>
    <t xml:space="preserve">Open</t>
  </si>
  <si>
    <t xml:space="preserve">Jordan Lee</t>
  </si>
  <si>
    <t xml:space="preserve">auth, sso, safari</t>
  </si>
  <si>
    <t xml:space="preserve">BUG-20260614-002</t>
  </si>
  <si>
    <t xml:space="preserve">Dashboard charts not rendering on mobile</t>
  </si>
  <si>
    <t xml:space="preserve">P1 — This Sprint</t>
  </si>
  <si>
    <t xml:space="preserve">Dashboard</t>
  </si>
  <si>
    <t xml:space="preserve">iOS 17 / Chrome</t>
  </si>
  <si>
    <t xml:space="preserve">Often (&gt;50%)</t>
  </si>
  <si>
    <t xml:space="preserve">In Progress</t>
  </si>
  <si>
    <t xml:space="preserve">Alex Kim</t>
  </si>
  <si>
    <t xml:space="preserve">mobile, charts, ui</t>
  </si>
  <si>
    <t xml:space="preserve">BUG-20260614-003</t>
  </si>
  <si>
    <t xml:space="preserve">Payment receipt shows wrong currency symbol</t>
  </si>
  <si>
    <t xml:space="preserve">Payments</t>
  </si>
  <si>
    <t xml:space="preserve">Windows 11 / Edge</t>
  </si>
  <si>
    <t xml:space="preserve">Sometimes (20–50%)</t>
  </si>
  <si>
    <t xml:space="preserve">Morgan Chen</t>
  </si>
  <si>
    <t xml:space="preserve">payments, currency</t>
  </si>
  <si>
    <t xml:space="preserve">BUG-20260614-004</t>
  </si>
  <si>
    <t xml:space="preserve">Search results truncated after 50 items</t>
  </si>
  <si>
    <t xml:space="preserve">P2 — Next Sprint</t>
  </si>
  <si>
    <t xml:space="preserve">Search</t>
  </si>
  <si>
    <t xml:space="preserve">macOS 14 / Chrome</t>
  </si>
  <si>
    <t xml:space="preserve">Taylor Patel</t>
  </si>
  <si>
    <t xml:space="preserve">search, pagination</t>
  </si>
  <si>
    <t xml:space="preserve">BUG-20260614-005</t>
  </si>
  <si>
    <t xml:space="preserve">Tooltip text misaligned in admin table</t>
  </si>
  <si>
    <t xml:space="preserve">P3 — Backlog</t>
  </si>
  <si>
    <t xml:space="preserve">Admin Panel</t>
  </si>
  <si>
    <t xml:space="preserve">Windows 10 / Edge</t>
  </si>
  <si>
    <t xml:space="preserve">Closed</t>
  </si>
  <si>
    <t xml:space="preserve">Sam Rivera</t>
  </si>
  <si>
    <t xml:space="preserve">ui, tooltip, admin</t>
  </si>
  <si>
    <t xml:space="preserve">BUG-20260614-006</t>
  </si>
  <si>
    <t xml:space="preserve">Notification bell shows stale count</t>
  </si>
  <si>
    <t xml:space="preserve">Notifications</t>
  </si>
  <si>
    <t xml:space="preserve">macOS 13 / Chrome</t>
  </si>
  <si>
    <t xml:space="preserve">notifications, count</t>
  </si>
  <si>
    <t xml:space="preserve">📊   BUG DASHBOARD</t>
  </si>
  <si>
    <t xml:space="preserve">Live metrics — auto-calculated from Bug Log</t>
  </si>
  <si>
    <t xml:space="preserve">TOTAL BUGS</t>
  </si>
  <si>
    <t xml:space="preserve">🔴 BLOCKERS</t>
  </si>
  <si>
    <t xml:space="preserve">🟠 CRITICAL</t>
  </si>
  <si>
    <t xml:space="preserve">OPEN</t>
  </si>
  <si>
    <t xml:space="preserve">IN PROGRESS</t>
  </si>
  <si>
    <t xml:space="preserve">✅ CLOSED</t>
  </si>
  <si>
    <t xml:space="preserve">  ▸  SEVERITY BREAKDOWN</t>
  </si>
  <si>
    <t xml:space="preserve">  ▸  STATUS BREAKDOWN</t>
  </si>
  <si>
    <t xml:space="preserve">Won't Fix</t>
  </si>
  <si>
    <t xml:space="preserve">Duplicate</t>
  </si>
  <si>
    <t xml:space="preserve">Needs Info</t>
  </si>
  <si>
    <t xml:space="preserve">  ▸  HOW TO USE</t>
  </si>
  <si>
    <t xml:space="preserve">1.  Open the Bug Report Form tab and fill in all required fields (*) using the dropdowns provided.</t>
  </si>
  <si>
    <t xml:space="preserve">2.  Copy your completed report into a new row in the Bug Log tab.</t>
  </si>
  <si>
    <t xml:space="preserve">3.  Update the Status column in Bug Log as issues progress: Open → In Progress → Closed.</t>
  </si>
  <si>
    <t xml:space="preserve">4.  This Dashboard auto-refreshes all counts from Bug Log — no manual updates needed.</t>
  </si>
  <si>
    <t xml:space="preserve">5.  Add as many rows as needed in Bug Log; formulas cover up to row 300.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</si>
</sst>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4F8EF7"/>
      <name val="Arial"/>
      <family val="0"/>
      <charset val="1"/>
    </font>
    <font>
      <i val="true"/>
      <sz val="10"/>
      <color rgb="FF7A9BC0"/>
      <name val="Arial"/>
      <family val="0"/>
      <charset val="1"/>
    </font>
    <font>
      <b val="true"/>
      <sz val="9"/>
      <color rgb="FF7A9BC0"/>
      <name val="Arial"/>
      <family val="0"/>
      <charset val="1"/>
    </font>
    <font>
      <b val="true"/>
      <sz val="10"/>
      <color rgb="FF4F8EF7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34155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9"/>
      <color rgb="FF4F8EF7"/>
      <name val="Arial"/>
      <family val="0"/>
      <charset val="1"/>
    </font>
    <font>
      <sz val="9"/>
      <color rgb="FF0F172A"/>
      <name val="Courier New"/>
      <family val="0"/>
      <charset val="1"/>
    </font>
    <font>
      <b val="true"/>
      <sz val="9"/>
      <color rgb="FFFF3B5C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FB923C"/>
      <name val="Arial"/>
      <family val="0"/>
      <charset val="1"/>
    </font>
    <font>
      <b val="true"/>
      <sz val="9"/>
      <color rgb="FF60A5FA"/>
      <name val="Arial"/>
      <family val="0"/>
      <charset val="1"/>
    </font>
    <font>
      <b val="true"/>
      <sz val="9"/>
      <color rgb="FF10B981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4"/>
      <color rgb="FF4F8EF7"/>
      <name val="Arial"/>
      <family val="0"/>
      <charset val="1"/>
    </font>
    <font>
      <i val="true"/>
      <sz val="9"/>
      <color rgb="FF7A9BC0"/>
      <name val="Arial"/>
      <family val="0"/>
      <charset val="1"/>
    </font>
    <font>
      <b val="true"/>
      <sz val="8"/>
      <color rgb="FF4F8EF7"/>
      <name val="Courier New"/>
      <family val="0"/>
      <charset val="1"/>
    </font>
    <font>
      <sz val="9"/>
      <color rgb="FF0F172A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20"/>
      <color rgb="FF4F8EF7"/>
      <name val="Arial"/>
      <family val="0"/>
      <charset val="1"/>
    </font>
    <font>
      <b val="true"/>
      <sz val="24"/>
      <color rgb="FF4F8EF7"/>
      <name val="Arial"/>
      <family val="0"/>
      <charset val="1"/>
    </font>
    <font>
      <b val="true"/>
      <sz val="24"/>
      <color rgb="FFFF3B5C"/>
      <name val="Arial"/>
      <family val="0"/>
      <charset val="1"/>
    </font>
    <font>
      <b val="true"/>
      <sz val="24"/>
      <color rgb="FFF59E0B"/>
      <name val="Arial"/>
      <family val="0"/>
      <charset val="1"/>
    </font>
    <font>
      <b val="true"/>
      <sz val="8"/>
      <color rgb="FF4F8EF7"/>
      <name val="Arial"/>
      <family val="0"/>
      <charset val="1"/>
    </font>
    <font>
      <b val="true"/>
      <sz val="8"/>
      <color rgb="FFFF3B5C"/>
      <name val="Arial"/>
      <family val="0"/>
      <charset val="1"/>
    </font>
    <font>
      <b val="true"/>
      <sz val="8"/>
      <color rgb="FFF59E0B"/>
      <name val="Arial"/>
      <family val="0"/>
      <charset val="1"/>
    </font>
    <font>
      <b val="true"/>
      <sz val="24"/>
      <color rgb="FFEF4444"/>
      <name val="Arial"/>
      <family val="0"/>
      <charset val="1"/>
    </font>
    <font>
      <b val="true"/>
      <sz val="24"/>
      <color rgb="FF10B981"/>
      <name val="Arial"/>
      <family val="0"/>
      <charset val="1"/>
    </font>
    <font>
      <b val="true"/>
      <sz val="8"/>
      <color rgb="FFEF4444"/>
      <name val="Arial"/>
      <family val="0"/>
      <charset val="1"/>
    </font>
    <font>
      <b val="true"/>
      <sz val="8"/>
      <color rgb="FF10B981"/>
      <name val="Arial"/>
      <family val="0"/>
      <charset val="1"/>
    </font>
    <font>
      <b val="true"/>
      <sz val="11"/>
      <color rgb="FFFF3B5C"/>
      <name val="Arial"/>
      <family val="0"/>
      <charset val="1"/>
    </font>
    <font>
      <sz val="10"/>
      <color rgb="FFFF3B5C"/>
      <name val="Courier New"/>
      <family val="0"/>
      <charset val="1"/>
    </font>
    <font>
      <b val="true"/>
      <sz val="11"/>
      <color rgb="FFF59E0B"/>
      <name val="Arial"/>
      <family val="0"/>
      <charset val="1"/>
    </font>
    <font>
      <sz val="10"/>
      <color rgb="FFF59E0B"/>
      <name val="Courier New"/>
      <family val="0"/>
      <charset val="1"/>
    </font>
    <font>
      <b val="true"/>
      <sz val="11"/>
      <color rgb="FFFB923C"/>
      <name val="Arial"/>
      <family val="0"/>
      <charset val="1"/>
    </font>
    <font>
      <sz val="10"/>
      <color rgb="FFFB923C"/>
      <name val="Courier New"/>
      <family val="0"/>
      <charset val="1"/>
    </font>
    <font>
      <b val="true"/>
      <sz val="11"/>
      <color rgb="FF60A5FA"/>
      <name val="Arial"/>
      <family val="0"/>
      <charset val="1"/>
    </font>
    <font>
      <sz val="10"/>
      <color rgb="FF60A5FA"/>
      <name val="Courier New"/>
      <family val="0"/>
      <charset val="1"/>
    </font>
    <font>
      <b val="true"/>
      <sz val="11"/>
      <color rgb="FF10B981"/>
      <name val="Arial"/>
      <family val="0"/>
      <charset val="1"/>
    </font>
    <font>
      <sz val="10"/>
      <color rgb="FF10B981"/>
      <name val="Courier New"/>
      <family val="0"/>
      <charset val="1"/>
    </font>
    <font>
      <b val="true"/>
      <sz val="11"/>
      <color rgb="FFEF4444"/>
      <name val="Arial"/>
      <family val="0"/>
      <charset val="1"/>
    </font>
    <font>
      <sz val="10"/>
      <color rgb="FFEF4444"/>
      <name val="Courier New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11"/>
      <color rgb="FF94A3B8"/>
      <name val="Arial"/>
      <family val="0"/>
      <charset val="1"/>
    </font>
    <font>
      <sz val="10"/>
      <color rgb="FF94A3B8"/>
      <name val="Courier New"/>
      <family val="0"/>
      <charset val="1"/>
    </font>
    <font>
      <b val="true"/>
      <sz val="9"/>
      <color rgb="FF8B5CF6"/>
      <name val="Arial"/>
      <family val="0"/>
      <charset val="1"/>
    </font>
    <font>
      <b val="true"/>
      <sz val="11"/>
      <color rgb="FF8B5CF6"/>
      <name val="Arial"/>
      <family val="0"/>
      <charset val="1"/>
    </font>
    <font>
      <sz val="10"/>
      <color rgb="FF8B5CF6"/>
      <name val="Courier New"/>
      <family val="0"/>
      <charset val="1"/>
    </font>
    <font>
      <b val="true"/>
      <sz val="9"/>
      <color rgb="FF06B6D4"/>
      <name val="Arial"/>
      <family val="0"/>
      <charset val="1"/>
    </font>
    <font>
      <b val="true"/>
      <sz val="11"/>
      <color rgb="FF06B6D4"/>
      <name val="Arial"/>
      <family val="0"/>
      <charset val="1"/>
    </font>
    <font>
      <sz val="10"/>
      <color rgb="FF06B6D4"/>
      <name val="Courier New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0F1623"/>
        <bgColor rgb="FF0F172A"/>
      </patternFill>
    </fill>
    <fill>
      <patternFill patternType="solid">
        <fgColor rgb="FF4F8EF7"/>
        <bgColor rgb="FF60A5FA"/>
      </patternFill>
    </fill>
    <fill>
      <patternFill patternType="solid">
        <fgColor rgb="FFEFF6FF"/>
        <bgColor rgb="FFF0F6FF"/>
      </patternFill>
    </fill>
    <fill>
      <patternFill patternType="solid">
        <fgColor rgb="FFF1F5F9"/>
        <bgColor rgb="FFF0F6FF"/>
      </patternFill>
    </fill>
    <fill>
      <patternFill patternType="solid">
        <fgColor rgb="FFFFFFFF"/>
        <bgColor rgb="FFFFFFF0"/>
      </patternFill>
    </fill>
    <fill>
      <patternFill patternType="solid">
        <fgColor rgb="FF334155"/>
        <bgColor rgb="FF2E4060"/>
      </patternFill>
    </fill>
    <fill>
      <patternFill patternType="solid">
        <fgColor rgb="FFFFF9F0"/>
        <bgColor rgb="FFFFF8F0"/>
      </patternFill>
    </fill>
    <fill>
      <patternFill patternType="solid">
        <fgColor rgb="FFF0F9FF"/>
        <bgColor rgb="FFF0F6FF"/>
      </patternFill>
    </fill>
    <fill>
      <patternFill patternType="solid">
        <fgColor rgb="FFF5FFF5"/>
        <bgColor rgb="FFF0FDF9"/>
      </patternFill>
    </fill>
    <fill>
      <patternFill patternType="solid">
        <fgColor rgb="FFFFF0F5"/>
        <bgColor rgb="FFFFF0F3"/>
      </patternFill>
    </fill>
    <fill>
      <patternFill patternType="solid">
        <fgColor rgb="FFF8F0FF"/>
        <bgColor rgb="FFFAF5FF"/>
      </patternFill>
    </fill>
    <fill>
      <patternFill patternType="solid">
        <fgColor rgb="FFFFFFF0"/>
        <bgColor rgb="FFFFFBF0"/>
      </patternFill>
    </fill>
    <fill>
      <patternFill patternType="solid">
        <fgColor rgb="FFF0F0FF"/>
        <bgColor rgb="FFF1F5F9"/>
      </patternFill>
    </fill>
    <fill>
      <patternFill patternType="solid">
        <fgColor rgb="FFFFF5F0"/>
        <bgColor rgb="FFFFF5F5"/>
      </patternFill>
    </fill>
    <fill>
      <patternFill patternType="solid">
        <fgColor rgb="FF10B981"/>
        <bgColor rgb="FF06B6D4"/>
      </patternFill>
    </fill>
    <fill>
      <patternFill patternType="solid">
        <fgColor rgb="FFFF3B5C"/>
        <bgColor rgb="FFEF4444"/>
      </patternFill>
    </fill>
    <fill>
      <patternFill patternType="solid">
        <fgColor rgb="FFF0FDF9"/>
        <bgColor rgb="FFF0FDFF"/>
      </patternFill>
    </fill>
    <fill>
      <patternFill patternType="solid">
        <fgColor rgb="FFFFF5F5"/>
        <bgColor rgb="FFFFF5F0"/>
      </patternFill>
    </fill>
    <fill>
      <patternFill patternType="solid">
        <fgColor rgb="FFF8FAFC"/>
        <bgColor rgb="FFFAF5FF"/>
      </patternFill>
    </fill>
    <fill>
      <patternFill patternType="solid">
        <fgColor rgb="FF475569"/>
        <bgColor rgb="FF334155"/>
      </patternFill>
    </fill>
    <fill>
      <patternFill patternType="solid">
        <fgColor rgb="FFFFF0F3"/>
        <bgColor rgb="FFFFF0F5"/>
      </patternFill>
    </fill>
    <fill>
      <patternFill patternType="solid">
        <fgColor rgb="FFFFFBF0"/>
        <bgColor rgb="FFFFF9F0"/>
      </patternFill>
    </fill>
    <fill>
      <patternFill patternType="solid">
        <fgColor rgb="FFFFF8F0"/>
        <bgColor rgb="FFFFF9F0"/>
      </patternFill>
    </fill>
    <fill>
      <patternFill patternType="solid">
        <fgColor rgb="FFF0F6FF"/>
        <bgColor rgb="FFEFF6FF"/>
      </patternFill>
    </fill>
    <fill>
      <patternFill patternType="solid">
        <fgColor rgb="FF1E3A5F"/>
        <bgColor rgb="FF2E4060"/>
      </patternFill>
    </fill>
    <fill>
      <patternFill patternType="solid">
        <fgColor rgb="FFFAF5FF"/>
        <bgColor rgb="FFF8F0FF"/>
      </patternFill>
    </fill>
    <fill>
      <patternFill patternType="solid">
        <fgColor rgb="FFF0FDFF"/>
        <bgColor rgb="FFF0FDF9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medium">
        <color rgb="FF4F8EF7"/>
      </bottom>
      <diagonal/>
    </border>
    <border diagonalUp="false" diagonalDown="false">
      <left style="thin">
        <color rgb="FFCBD5E1"/>
      </left>
      <right/>
      <top style="thin">
        <color rgb="FFCBD5E1"/>
      </top>
      <bottom/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10B981"/>
      </left>
      <right/>
      <top style="thin">
        <color rgb="FFCBD5E1"/>
      </top>
      <bottom/>
      <diagonal/>
    </border>
    <border diagonalUp="false" diagonalDown="false">
      <left style="medium">
        <color rgb="FFFF3B5C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F59E0B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FB923C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60A5FA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10B98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2E4060"/>
      </left>
      <right style="thin">
        <color rgb="FF2E4060"/>
      </right>
      <top/>
      <bottom style="medium">
        <color rgb="FF4F8EF7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4F8EF7"/>
      </left>
      <right/>
      <top style="medium">
        <color rgb="FF4F8EF7"/>
      </top>
      <bottom style="thin">
        <color rgb="FFE2E8F0"/>
      </bottom>
      <diagonal/>
    </border>
    <border diagonalUp="false" diagonalDown="false">
      <left style="medium">
        <color rgb="FFFF3B5C"/>
      </left>
      <right/>
      <top style="medium">
        <color rgb="FFFF3B5C"/>
      </top>
      <bottom style="thin">
        <color rgb="FFE2E8F0"/>
      </bottom>
      <diagonal/>
    </border>
    <border diagonalUp="false" diagonalDown="false">
      <left style="medium">
        <color rgb="FFF59E0B"/>
      </left>
      <right/>
      <top style="medium">
        <color rgb="FFF59E0B"/>
      </top>
      <bottom style="thin">
        <color rgb="FFE2E8F0"/>
      </bottom>
      <diagonal/>
    </border>
    <border diagonalUp="false" diagonalDown="false">
      <left style="medium">
        <color rgb="FF4F8EF7"/>
      </left>
      <right/>
      <top style="thin">
        <color rgb="FFE2E8F0"/>
      </top>
      <bottom style="medium">
        <color rgb="FF4F8EF7"/>
      </bottom>
      <diagonal/>
    </border>
    <border diagonalUp="false" diagonalDown="false">
      <left style="medium">
        <color rgb="FFFF3B5C"/>
      </left>
      <right/>
      <top style="thin">
        <color rgb="FFE2E8F0"/>
      </top>
      <bottom style="medium">
        <color rgb="FFFF3B5C"/>
      </bottom>
      <diagonal/>
    </border>
    <border diagonalUp="false" diagonalDown="false">
      <left style="medium">
        <color rgb="FFF59E0B"/>
      </left>
      <right/>
      <top style="thin">
        <color rgb="FFE2E8F0"/>
      </top>
      <bottom style="medium">
        <color rgb="FFF59E0B"/>
      </bottom>
      <diagonal/>
    </border>
    <border diagonalUp="false" diagonalDown="false">
      <left style="medium">
        <color rgb="FFEF4444"/>
      </left>
      <right/>
      <top style="medium">
        <color rgb="FFEF4444"/>
      </top>
      <bottom style="thin">
        <color rgb="FFE2E8F0"/>
      </bottom>
      <diagonal/>
    </border>
    <border diagonalUp="false" diagonalDown="false">
      <left style="medium">
        <color rgb="FF10B981"/>
      </left>
      <right/>
      <top style="medium">
        <color rgb="FF10B981"/>
      </top>
      <bottom style="thin">
        <color rgb="FFE2E8F0"/>
      </bottom>
      <diagonal/>
    </border>
    <border diagonalUp="false" diagonalDown="false">
      <left style="medium">
        <color rgb="FFEF4444"/>
      </left>
      <right/>
      <top style="thin">
        <color rgb="FFE2E8F0"/>
      </top>
      <bottom style="medium">
        <color rgb="FFEF4444"/>
      </bottom>
      <diagonal/>
    </border>
    <border diagonalUp="false" diagonalDown="false">
      <left style="medium">
        <color rgb="FF10B981"/>
      </left>
      <right/>
      <top style="thin">
        <color rgb="FFE2E8F0"/>
      </top>
      <bottom style="medium">
        <color rgb="FF10B981"/>
      </bottom>
      <diagonal/>
    </border>
    <border diagonalUp="false" diagonalDown="false">
      <left style="medium">
        <color rgb="FFEF4444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94A3B8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8B5CF6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06B6D4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9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2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2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1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7" fillId="2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9" fillId="2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1" fillId="2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3" fillId="2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8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5" fillId="1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9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7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2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0" fillId="2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2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27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3" fillId="2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28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6" fillId="2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FF3B5C"/>
      </font>
      <fill>
        <patternFill>
          <bgColor rgb="FFFFF0F3"/>
        </patternFill>
      </fill>
    </dxf>
    <dxf>
      <font>
        <b val="1"/>
        <color rgb="FFF59E0B"/>
      </font>
      <fill>
        <patternFill>
          <bgColor rgb="FFFFFBF0"/>
        </patternFill>
      </fill>
    </dxf>
    <dxf>
      <font>
        <b val="1"/>
        <color rgb="FFFB923C"/>
      </font>
      <fill>
        <patternFill>
          <bgColor rgb="FFFFF8F0"/>
        </patternFill>
      </fill>
    </dxf>
    <dxf>
      <font>
        <b val="1"/>
        <color rgb="FF60A5FA"/>
      </font>
      <fill>
        <patternFill>
          <bgColor rgb="FFF0F6FF"/>
        </patternFill>
      </fill>
    </dxf>
    <dxf>
      <font>
        <b val="1"/>
        <color rgb="FF10B981"/>
      </font>
      <fill>
        <patternFill>
          <bgColor rgb="FFF0FDF9"/>
        </patternFill>
      </fill>
    </dxf>
    <dxf>
      <font>
        <b val="1"/>
        <color rgb="FFEF4444"/>
      </font>
      <fill>
        <patternFill>
          <bgColor rgb="FFFFF5F5"/>
        </patternFill>
      </fill>
    </dxf>
    <dxf>
      <font>
        <b val="1"/>
        <color rgb="FF94A3B8"/>
      </font>
      <fill>
        <patternFill>
          <bgColor rgb="FFF8FAFC"/>
        </patternFill>
      </fill>
    </dxf>
  </dxfs>
  <colors>
    <indexedColors>
      <rgbColor rgb="FF000000"/>
      <rgbColor rgb="FFFFFFFF"/>
      <rgbColor rgb="FFFF3B5C"/>
      <rgbColor rgb="FFF5FFF5"/>
      <rgbColor rgb="FF0000FF"/>
      <rgbColor rgb="FFFFF9F0"/>
      <rgbColor rgb="FFFF00FF"/>
      <rgbColor rgb="FFF0F9FF"/>
      <rgbColor rgb="FF800000"/>
      <rgbColor rgb="FF008000"/>
      <rgbColor rgb="FF000080"/>
      <rgbColor rgb="FFFFF5F5"/>
      <rgbColor rgb="FF800080"/>
      <rgbColor rgb="FF008080"/>
      <rgbColor rgb="FFF0F0FF"/>
      <rgbColor rgb="FF8B5CF6"/>
      <rgbColor rgb="FF7A9BC0"/>
      <rgbColor rgb="FFFAF5FF"/>
      <rgbColor rgb="FFFFFFF0"/>
      <rgbColor rgb="FFF0FDFF"/>
      <rgbColor rgb="FF660066"/>
      <rgbColor rgb="FFFB923C"/>
      <rgbColor rgb="FF0066CC"/>
      <rgbColor rgb="FFCBD5E1"/>
      <rgbColor rgb="FF000080"/>
      <rgbColor rgb="FFFF00FF"/>
      <rgbColor rgb="FFFFF8F0"/>
      <rgbColor rgb="FFF0F6FF"/>
      <rgbColor rgb="FF800080"/>
      <rgbColor rgb="FF800000"/>
      <rgbColor rgb="FF008080"/>
      <rgbColor rgb="FF0000FF"/>
      <rgbColor rgb="FF06B6D4"/>
      <rgbColor rgb="FFF0FDF9"/>
      <rgbColor rgb="FFE2E8F0"/>
      <rgbColor rgb="FFFFFBF0"/>
      <rgbColor rgb="FFEFF6FF"/>
      <rgbColor rgb="FFFFF0F5"/>
      <rgbColor rgb="FFF8F0FF"/>
      <rgbColor rgb="FFFFF0F3"/>
      <rgbColor rgb="FF4F8EF7"/>
      <rgbColor rgb="FF60A5FA"/>
      <rgbColor rgb="FFF1F5F9"/>
      <rgbColor rgb="FFFFF5F0"/>
      <rgbColor rgb="FFF59E0B"/>
      <rgbColor rgb="FFEF4444"/>
      <rgbColor rgb="FF475569"/>
      <rgbColor rgb="FF94A3B8"/>
      <rgbColor rgb="FF1E3A5F"/>
      <rgbColor rgb="FF10B981"/>
      <rgbColor rgb="FF0F1623"/>
      <rgbColor rgb="FF0F172A"/>
      <rgbColor rgb="FF993300"/>
      <rgbColor rgb="FFF8FAFC"/>
      <rgbColor rgb="FF2E4060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8EF7"/>
    <pageSetUpPr fitToPage="false"/>
  </sheetPr>
  <dimension ref="A1:H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7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6" hidden="false" customHeight="true" outlineLevel="0" collapsed="false">
      <c r="A5" s="1"/>
      <c r="B5" s="1"/>
      <c r="C5" s="1"/>
      <c r="D5" s="1"/>
      <c r="E5" s="1"/>
      <c r="F5" s="1"/>
      <c r="G5" s="1"/>
      <c r="H5" s="1"/>
    </row>
    <row r="6" customFormat="false" ht="21.75" hidden="false" customHeight="true" outlineLevel="0" collapsed="false">
      <c r="B6" s="5" t="s">
        <v>2</v>
      </c>
      <c r="C6" s="5"/>
      <c r="D6" s="6" t="str">
        <f aca="true">CONCATENATE("BUG-",TEXT(TODAY(),"YYYYMMDD"),"-",TEXT(RANDBETWEEN(100,999),"000"))</f>
        <v>BUG-20260614-850</v>
      </c>
      <c r="E6" s="6"/>
      <c r="F6" s="7" t="s">
        <v>3</v>
      </c>
      <c r="G6" s="8" t="n">
        <f aca="true">TODAY()</f>
        <v>46187</v>
      </c>
    </row>
    <row r="7" customFormat="false" ht="9.75" hidden="false" customHeight="tru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21.75" hidden="false" customHeight="true" outlineLevel="0" collapsed="false">
      <c r="B8" s="10" t="s">
        <v>4</v>
      </c>
      <c r="C8" s="10"/>
      <c r="D8" s="10"/>
      <c r="E8" s="10"/>
      <c r="F8" s="10"/>
      <c r="G8" s="10"/>
    </row>
    <row r="9" customFormat="false" ht="24" hidden="false" customHeight="true" outlineLevel="0" collapsed="false">
      <c r="B9" s="11" t="s">
        <v>5</v>
      </c>
      <c r="C9" s="12" t="s">
        <v>6</v>
      </c>
      <c r="D9" s="12"/>
      <c r="E9" s="11" t="s">
        <v>7</v>
      </c>
      <c r="F9" s="12" t="s">
        <v>8</v>
      </c>
      <c r="G9" s="12"/>
    </row>
    <row r="10" customFormat="false" ht="6" hidden="false" customHeight="tru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24" hidden="false" customHeight="true" outlineLevel="0" collapsed="false">
      <c r="B11" s="11" t="s">
        <v>9</v>
      </c>
      <c r="C11" s="13"/>
      <c r="D11" s="13"/>
      <c r="E11" s="13"/>
      <c r="F11" s="13"/>
      <c r="G11" s="13"/>
    </row>
    <row r="12" customFormat="false" ht="6" hidden="false" customHeight="tru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24" hidden="false" customHeight="true" outlineLevel="0" collapsed="false">
      <c r="B13" s="11" t="s">
        <v>10</v>
      </c>
      <c r="C13" s="12" t="s">
        <v>11</v>
      </c>
      <c r="D13" s="12"/>
      <c r="E13" s="11" t="s">
        <v>12</v>
      </c>
      <c r="F13" s="12" t="s">
        <v>13</v>
      </c>
      <c r="G13" s="12"/>
    </row>
    <row r="14" customFormat="false" ht="6" hidden="false" customHeight="tru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9.5" hidden="false" customHeight="true" outlineLevel="0" collapsed="false">
      <c r="B15" s="11" t="s">
        <v>14</v>
      </c>
      <c r="C15" s="14"/>
      <c r="D15" s="14"/>
      <c r="E15" s="14"/>
      <c r="F15" s="14"/>
      <c r="G15" s="14"/>
    </row>
    <row r="16" customFormat="false" ht="19.5" hidden="false" customHeight="true" outlineLevel="0" collapsed="false">
      <c r="C16" s="14"/>
      <c r="D16" s="14"/>
      <c r="E16" s="14"/>
      <c r="F16" s="14"/>
      <c r="G16" s="14"/>
    </row>
    <row r="17" customFormat="false" ht="19.5" hidden="false" customHeight="true" outlineLevel="0" collapsed="false">
      <c r="C17" s="14"/>
      <c r="D17" s="14"/>
      <c r="E17" s="14"/>
      <c r="F17" s="14"/>
      <c r="G17" s="14"/>
    </row>
    <row r="18" customFormat="false" ht="19.5" hidden="false" customHeight="true" outlineLevel="0" collapsed="false">
      <c r="C18" s="14"/>
      <c r="D18" s="14"/>
      <c r="E18" s="14"/>
      <c r="F18" s="14"/>
      <c r="G18" s="14"/>
    </row>
    <row r="19" customFormat="false" ht="19.5" hidden="false" customHeight="true" outlineLevel="0" collapsed="false">
      <c r="C19" s="14"/>
      <c r="D19" s="14"/>
      <c r="E19" s="14"/>
      <c r="F19" s="14"/>
      <c r="G19" s="14"/>
    </row>
    <row r="20" customFormat="false" ht="9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21.75" hidden="false" customHeight="true" outlineLevel="0" collapsed="false">
      <c r="B21" s="15" t="s">
        <v>15</v>
      </c>
      <c r="C21" s="15"/>
      <c r="D21" s="15"/>
      <c r="E21" s="15"/>
      <c r="F21" s="15"/>
      <c r="G21" s="15"/>
    </row>
    <row r="22" customFormat="false" ht="24" hidden="false" customHeight="true" outlineLevel="0" collapsed="false">
      <c r="B22" s="11" t="s">
        <v>16</v>
      </c>
      <c r="C22" s="12" t="s">
        <v>17</v>
      </c>
      <c r="D22" s="12"/>
      <c r="E22" s="11" t="s">
        <v>18</v>
      </c>
      <c r="F22" s="12" t="s">
        <v>19</v>
      </c>
      <c r="G22" s="12"/>
    </row>
    <row r="23" customFormat="false" ht="6" hidden="false" customHeight="tru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24" hidden="false" customHeight="true" outlineLevel="0" collapsed="false">
      <c r="B24" s="11" t="s">
        <v>20</v>
      </c>
      <c r="C24" s="13"/>
      <c r="D24" s="13"/>
      <c r="E24" s="11" t="s">
        <v>21</v>
      </c>
      <c r="F24" s="12" t="s">
        <v>13</v>
      </c>
      <c r="G24" s="12"/>
    </row>
    <row r="25" customFormat="false" ht="6" hidden="false" customHeight="tru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9.75" hidden="false" customHeight="tru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21.75" hidden="false" customHeight="true" outlineLevel="0" collapsed="false">
      <c r="B27" s="15" t="s">
        <v>22</v>
      </c>
      <c r="C27" s="15"/>
      <c r="D27" s="15"/>
      <c r="E27" s="15"/>
      <c r="F27" s="15"/>
      <c r="G27" s="15"/>
    </row>
    <row r="28" customFormat="false" ht="21.75" hidden="false" customHeight="true" outlineLevel="0" collapsed="false">
      <c r="B28" s="16" t="s">
        <v>23</v>
      </c>
      <c r="C28" s="17"/>
      <c r="D28" s="17"/>
      <c r="E28" s="17"/>
      <c r="F28" s="17"/>
      <c r="G28" s="17"/>
    </row>
    <row r="29" customFormat="false" ht="21.75" hidden="false" customHeight="true" outlineLevel="0" collapsed="false">
      <c r="B29" s="16" t="s">
        <v>24</v>
      </c>
      <c r="C29" s="18"/>
      <c r="D29" s="18"/>
      <c r="E29" s="18"/>
      <c r="F29" s="18"/>
      <c r="G29" s="18"/>
    </row>
    <row r="30" customFormat="false" ht="21.75" hidden="false" customHeight="true" outlineLevel="0" collapsed="false">
      <c r="B30" s="16" t="s">
        <v>25</v>
      </c>
      <c r="C30" s="19"/>
      <c r="D30" s="19"/>
      <c r="E30" s="19"/>
      <c r="F30" s="19"/>
      <c r="G30" s="19"/>
    </row>
    <row r="31" customFormat="false" ht="21.75" hidden="false" customHeight="true" outlineLevel="0" collapsed="false">
      <c r="B31" s="16" t="s">
        <v>26</v>
      </c>
      <c r="C31" s="20"/>
      <c r="D31" s="20"/>
      <c r="E31" s="20"/>
      <c r="F31" s="20"/>
      <c r="G31" s="20"/>
    </row>
    <row r="32" customFormat="false" ht="21.75" hidden="false" customHeight="true" outlineLevel="0" collapsed="false">
      <c r="B32" s="16" t="s">
        <v>27</v>
      </c>
      <c r="C32" s="21"/>
      <c r="D32" s="21"/>
      <c r="E32" s="21"/>
      <c r="F32" s="21"/>
      <c r="G32" s="21"/>
    </row>
    <row r="33" customFormat="false" ht="21.75" hidden="false" customHeight="true" outlineLevel="0" collapsed="false">
      <c r="B33" s="16" t="s">
        <v>28</v>
      </c>
      <c r="C33" s="22"/>
      <c r="D33" s="22"/>
      <c r="E33" s="22"/>
      <c r="F33" s="22"/>
      <c r="G33" s="22"/>
    </row>
    <row r="34" customFormat="false" ht="21.75" hidden="false" customHeight="true" outlineLevel="0" collapsed="false">
      <c r="B34" s="16" t="s">
        <v>29</v>
      </c>
      <c r="C34" s="23"/>
      <c r="D34" s="23"/>
      <c r="E34" s="23"/>
      <c r="F34" s="23"/>
      <c r="G34" s="23"/>
    </row>
    <row r="35" customFormat="false" ht="21.75" hidden="false" customHeight="true" outlineLevel="0" collapsed="false">
      <c r="B35" s="16" t="s">
        <v>30</v>
      </c>
      <c r="C35" s="24"/>
      <c r="D35" s="24"/>
      <c r="E35" s="24"/>
      <c r="F35" s="24"/>
      <c r="G35" s="24"/>
    </row>
    <row r="36" customFormat="false" ht="9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</row>
    <row r="37" customFormat="false" ht="21.75" hidden="false" customHeight="true" outlineLevel="0" collapsed="false">
      <c r="B37" s="15" t="s">
        <v>31</v>
      </c>
      <c r="C37" s="15"/>
      <c r="D37" s="15"/>
      <c r="E37" s="15"/>
      <c r="F37" s="15"/>
      <c r="G37" s="15"/>
    </row>
    <row r="38" customFormat="false" ht="21.75" hidden="false" customHeight="true" outlineLevel="0" collapsed="false">
      <c r="B38" s="25" t="s">
        <v>32</v>
      </c>
      <c r="C38" s="25"/>
      <c r="D38" s="25"/>
      <c r="E38" s="26" t="s">
        <v>33</v>
      </c>
      <c r="F38" s="26"/>
      <c r="G38" s="26"/>
    </row>
    <row r="39" customFormat="false" ht="21.75" hidden="false" customHeight="true" outlineLevel="0" collapsed="false">
      <c r="B39" s="27"/>
      <c r="C39" s="27"/>
      <c r="D39" s="27"/>
      <c r="E39" s="28"/>
      <c r="F39" s="28"/>
      <c r="G39" s="28"/>
    </row>
    <row r="40" customFormat="false" ht="21.75" hidden="false" customHeight="true" outlineLevel="0" collapsed="false">
      <c r="B40" s="27"/>
      <c r="C40" s="27"/>
      <c r="D40" s="27"/>
      <c r="E40" s="28"/>
      <c r="F40" s="28"/>
      <c r="G40" s="28"/>
    </row>
    <row r="41" customFormat="false" ht="21.75" hidden="false" customHeight="true" outlineLevel="0" collapsed="false">
      <c r="B41" s="27"/>
      <c r="C41" s="27"/>
      <c r="D41" s="27"/>
      <c r="E41" s="28"/>
      <c r="F41" s="28"/>
      <c r="G41" s="28"/>
    </row>
    <row r="42" customFormat="false" ht="21.75" hidden="false" customHeight="true" outlineLevel="0" collapsed="false">
      <c r="B42" s="27"/>
      <c r="C42" s="27"/>
      <c r="D42" s="27"/>
      <c r="E42" s="28"/>
      <c r="F42" s="28"/>
      <c r="G42" s="28"/>
    </row>
    <row r="43" customFormat="false" ht="21.75" hidden="false" customHeight="true" outlineLevel="0" collapsed="false">
      <c r="B43" s="27"/>
      <c r="C43" s="27"/>
      <c r="D43" s="27"/>
      <c r="E43" s="28"/>
      <c r="F43" s="28"/>
      <c r="G43" s="28"/>
    </row>
    <row r="44" customFormat="false" ht="21.75" hidden="false" customHeight="true" outlineLevel="0" collapsed="false">
      <c r="B44" s="27"/>
      <c r="C44" s="27"/>
      <c r="D44" s="27"/>
      <c r="E44" s="28"/>
      <c r="F44" s="28"/>
      <c r="G44" s="28"/>
    </row>
    <row r="45" customFormat="false" ht="9.75" hidden="false" customHeight="true" outlineLevel="0" collapsed="false">
      <c r="A45" s="9"/>
      <c r="B45" s="9"/>
      <c r="C45" s="9"/>
      <c r="D45" s="9"/>
      <c r="E45" s="9"/>
      <c r="F45" s="9"/>
      <c r="G45" s="9"/>
      <c r="H45" s="9"/>
    </row>
    <row r="46" customFormat="false" ht="21.75" hidden="false" customHeight="true" outlineLevel="0" collapsed="false">
      <c r="B46" s="15" t="s">
        <v>34</v>
      </c>
      <c r="C46" s="15"/>
      <c r="D46" s="15"/>
      <c r="E46" s="15"/>
      <c r="F46" s="15"/>
      <c r="G46" s="15"/>
    </row>
    <row r="47" customFormat="false" ht="24" hidden="false" customHeight="true" outlineLevel="0" collapsed="false">
      <c r="B47" s="11" t="s">
        <v>35</v>
      </c>
      <c r="C47" s="12" t="s">
        <v>36</v>
      </c>
      <c r="D47" s="12"/>
      <c r="E47" s="11" t="s">
        <v>37</v>
      </c>
      <c r="F47" s="13"/>
      <c r="G47" s="13"/>
    </row>
    <row r="48" customFormat="false" ht="6" hidden="false" customHeight="true" outlineLevel="0" collapsed="false">
      <c r="A48" s="9"/>
      <c r="B48" s="9"/>
      <c r="C48" s="9"/>
      <c r="D48" s="9"/>
      <c r="E48" s="9"/>
      <c r="F48" s="9"/>
      <c r="G48" s="9"/>
      <c r="H48" s="9"/>
    </row>
    <row r="49" customFormat="false" ht="19.5" hidden="false" customHeight="true" outlineLevel="0" collapsed="false">
      <c r="B49" s="11" t="s">
        <v>38</v>
      </c>
      <c r="C49" s="29"/>
      <c r="D49" s="29"/>
      <c r="E49" s="29"/>
      <c r="F49" s="29"/>
      <c r="G49" s="29"/>
    </row>
    <row r="50" customFormat="false" ht="19.5" hidden="false" customHeight="true" outlineLevel="0" collapsed="false">
      <c r="C50" s="29"/>
      <c r="D50" s="29"/>
      <c r="E50" s="29"/>
      <c r="F50" s="29"/>
      <c r="G50" s="29"/>
    </row>
    <row r="51" customFormat="false" ht="19.5" hidden="false" customHeight="true" outlineLevel="0" collapsed="false">
      <c r="C51" s="29"/>
      <c r="D51" s="29"/>
      <c r="E51" s="29"/>
      <c r="F51" s="29"/>
      <c r="G51" s="29"/>
    </row>
    <row r="52" customFormat="false" ht="19.5" hidden="false" customHeight="true" outlineLevel="0" collapsed="false">
      <c r="C52" s="29"/>
      <c r="D52" s="29"/>
      <c r="E52" s="29"/>
      <c r="F52" s="29"/>
      <c r="G52" s="29"/>
    </row>
    <row r="53" customFormat="false" ht="19.5" hidden="false" customHeight="true" outlineLevel="0" collapsed="false">
      <c r="C53" s="29"/>
      <c r="D53" s="29"/>
      <c r="E53" s="29"/>
      <c r="F53" s="29"/>
      <c r="G53" s="29"/>
    </row>
    <row r="54" customFormat="false" ht="19.5" hidden="false" customHeight="true" outlineLevel="0" collapsed="false">
      <c r="C54" s="29"/>
      <c r="D54" s="29"/>
      <c r="E54" s="29"/>
      <c r="F54" s="29"/>
      <c r="G54" s="29"/>
    </row>
    <row r="55" customFormat="false" ht="19.5" hidden="false" customHeight="true" outlineLevel="0" collapsed="false">
      <c r="C55" s="29"/>
      <c r="D55" s="29"/>
      <c r="E55" s="29"/>
      <c r="F55" s="29"/>
      <c r="G55" s="29"/>
    </row>
    <row r="56" customFormat="false" ht="9.75" hidden="false" customHeight="true" outlineLevel="0" collapsed="false">
      <c r="A56" s="9"/>
      <c r="B56" s="9"/>
      <c r="C56" s="9"/>
      <c r="D56" s="9"/>
      <c r="E56" s="9"/>
      <c r="F56" s="9"/>
      <c r="G56" s="9"/>
      <c r="H56" s="9"/>
    </row>
    <row r="57" customFormat="false" ht="21.75" hidden="false" customHeight="true" outlineLevel="0" collapsed="false">
      <c r="B57" s="30" t="s">
        <v>39</v>
      </c>
      <c r="C57" s="30"/>
      <c r="D57" s="30"/>
      <c r="E57" s="30"/>
      <c r="F57" s="30"/>
      <c r="G57" s="30"/>
    </row>
    <row r="58" customFormat="false" ht="21" hidden="false" customHeight="true" outlineLevel="0" collapsed="false">
      <c r="B58" s="31" t="s">
        <v>40</v>
      </c>
      <c r="C58" s="32" t="s">
        <v>41</v>
      </c>
      <c r="D58" s="32"/>
      <c r="E58" s="32"/>
      <c r="F58" s="32"/>
      <c r="G58" s="32"/>
    </row>
    <row r="59" customFormat="false" ht="21" hidden="false" customHeight="true" outlineLevel="0" collapsed="false">
      <c r="B59" s="33" t="s">
        <v>42</v>
      </c>
      <c r="C59" s="34" t="s">
        <v>43</v>
      </c>
      <c r="D59" s="34"/>
      <c r="E59" s="34"/>
      <c r="F59" s="34"/>
      <c r="G59" s="34"/>
    </row>
    <row r="60" customFormat="false" ht="21" hidden="false" customHeight="true" outlineLevel="0" collapsed="false">
      <c r="B60" s="35" t="s">
        <v>44</v>
      </c>
      <c r="C60" s="36" t="s">
        <v>45</v>
      </c>
      <c r="D60" s="36"/>
      <c r="E60" s="36"/>
      <c r="F60" s="36"/>
      <c r="G60" s="36"/>
    </row>
    <row r="61" customFormat="false" ht="21" hidden="false" customHeight="true" outlineLevel="0" collapsed="false">
      <c r="B61" s="37" t="s">
        <v>46</v>
      </c>
      <c r="C61" s="38" t="s">
        <v>47</v>
      </c>
      <c r="D61" s="38"/>
      <c r="E61" s="38"/>
      <c r="F61" s="38"/>
      <c r="G61" s="38"/>
    </row>
    <row r="62" customFormat="false" ht="21" hidden="false" customHeight="true" outlineLevel="0" collapsed="false">
      <c r="B62" s="39" t="s">
        <v>48</v>
      </c>
      <c r="C62" s="40" t="s">
        <v>49</v>
      </c>
      <c r="D62" s="40"/>
      <c r="E62" s="40"/>
      <c r="F62" s="40"/>
      <c r="G62" s="40"/>
    </row>
    <row r="64" customFormat="false" ht="12" hidden="false" customHeight="true" outlineLevel="0" collapsed="false"/>
    <row r="65" customFormat="false" ht="18" hidden="false" customHeight="true" outlineLevel="0" collapsed="false">
      <c r="B65" s="41" t="s">
        <v>50</v>
      </c>
      <c r="C65" s="41"/>
      <c r="D65" s="41"/>
      <c r="E65" s="41"/>
      <c r="F65" s="41"/>
      <c r="G65" s="41"/>
    </row>
  </sheetData>
  <mergeCells count="56">
    <mergeCell ref="A1:H1"/>
    <mergeCell ref="A2:H2"/>
    <mergeCell ref="A3:H3"/>
    <mergeCell ref="A4:H4"/>
    <mergeCell ref="A5:H5"/>
    <mergeCell ref="B6:C6"/>
    <mergeCell ref="D6:E6"/>
    <mergeCell ref="A7:H7"/>
    <mergeCell ref="B8:G8"/>
    <mergeCell ref="C9:D9"/>
    <mergeCell ref="F9:G9"/>
    <mergeCell ref="A10:H10"/>
    <mergeCell ref="C11:G11"/>
    <mergeCell ref="A12:H12"/>
    <mergeCell ref="C13:D13"/>
    <mergeCell ref="F13:G13"/>
    <mergeCell ref="A14:H14"/>
    <mergeCell ref="C15:G19"/>
    <mergeCell ref="A20:H20"/>
    <mergeCell ref="B21:G21"/>
    <mergeCell ref="C22:D22"/>
    <mergeCell ref="F22:G22"/>
    <mergeCell ref="A23:H23"/>
    <mergeCell ref="C24:D24"/>
    <mergeCell ref="F24:G24"/>
    <mergeCell ref="A25:H25"/>
    <mergeCell ref="A26:H26"/>
    <mergeCell ref="B27:G27"/>
    <mergeCell ref="C28:G28"/>
    <mergeCell ref="C29:G29"/>
    <mergeCell ref="C30:G30"/>
    <mergeCell ref="C31:G31"/>
    <mergeCell ref="C32:G32"/>
    <mergeCell ref="C33:G33"/>
    <mergeCell ref="C34:G34"/>
    <mergeCell ref="C35:G35"/>
    <mergeCell ref="A36:H36"/>
    <mergeCell ref="B37:G37"/>
    <mergeCell ref="B38:D38"/>
    <mergeCell ref="E38:G38"/>
    <mergeCell ref="B39:D44"/>
    <mergeCell ref="E39:G44"/>
    <mergeCell ref="A45:H45"/>
    <mergeCell ref="B46:G46"/>
    <mergeCell ref="C47:D47"/>
    <mergeCell ref="F47:G47"/>
    <mergeCell ref="A48:H48"/>
    <mergeCell ref="C49:G55"/>
    <mergeCell ref="A56:H56"/>
    <mergeCell ref="B57:G57"/>
    <mergeCell ref="C58:G58"/>
    <mergeCell ref="C59:G59"/>
    <mergeCell ref="C60:G60"/>
    <mergeCell ref="C61:G61"/>
    <mergeCell ref="C62:G62"/>
    <mergeCell ref="B65:G65"/>
  </mergeCells>
  <conditionalFormatting sqref="C9">
    <cfRule type="expression" priority="2" aboveAverage="0" equalAverage="0" bottom="0" percent="0" rank="0" text="" dxfId="0">
      <formula>C9="🔴 Blocker"</formula>
    </cfRule>
    <cfRule type="expression" priority="3" aboveAverage="0" equalAverage="0" bottom="0" percent="0" rank="0" text="" dxfId="1">
      <formula>C9="🟠 Critical"</formula>
    </cfRule>
    <cfRule type="expression" priority="4" aboveAverage="0" equalAverage="0" bottom="0" percent="0" rank="0" text="" dxfId="2">
      <formula>C9="🟡 Major"</formula>
    </cfRule>
    <cfRule type="expression" priority="5" aboveAverage="0" equalAverage="0" bottom="0" percent="0" rank="0" text="" dxfId="3">
      <formula>C9="🔵 Minor"</formula>
    </cfRule>
    <cfRule type="expression" priority="6" aboveAverage="0" equalAverage="0" bottom="0" percent="0" rank="0" text="" dxfId="4">
      <formula>C9="🟢 Trivial"</formula>
    </cfRule>
  </conditionalFormatting>
  <dataValidations count="8">
    <dataValidation allowBlank="false" errorStyle="stop" operator="between" showDropDown="false" showErrorMessage="false" showInputMessage="false" sqref="C9" type="list">
      <formula1>"🔴 Blocker,🟠 Critical,🟡 Major,🔵 Minor,🟢 Trivial"</formula1>
      <formula2>0</formula2>
    </dataValidation>
    <dataValidation allowBlank="false" errorStyle="stop" operator="between" showDropDown="false" showErrorMessage="false" showInputMessage="false" sqref="F9" type="list">
      <formula1>"P0 — Immediate,P1 — This Sprint,P2 — Next Sprint,P3 — Backlog"</formula1>
      <formula2>0</formula2>
    </dataValidation>
    <dataValidation allowBlank="false" errorStyle="stop" operator="between" showDropDown="false" showErrorMessage="false" showInputMessage="false" sqref="C13" type="list">
      <formula1>"Authentication,Dashboard,API / Backend,Database,UI / Frontend,Payments,Notifications,File Upload,Search,Admin Panel,Other"</formula1>
      <formula2>0</formula2>
    </dataValidation>
    <dataValidation allowBlank="false" errorStyle="stop" operator="between" showDropDown="false" showErrorMessage="false" showInputMessage="false" sqref="F13" type="list">
      <formula1>"Always (100%),Often (&gt;50%),Sometimes (20–50%),Rarely (&lt;20%),Once Only"</formula1>
      <formula2>0</formula2>
    </dataValidation>
    <dataValidation allowBlank="false" errorStyle="stop" operator="between" showDropDown="false" showErrorMessage="false" showInputMessage="false" sqref="C22" type="list">
      <formula1>"macOS 14,macOS 13,Windows 11,Windows 10,Ubuntu 22.04,iOS 17,Android 14,Other"</formula1>
      <formula2>0</formula2>
    </dataValidation>
    <dataValidation allowBlank="false" errorStyle="stop" operator="between" showDropDown="false" showErrorMessage="false" showInputMessage="false" sqref="F22" type="list">
      <formula1>"Chrome,Firefox,Safari,Edge,Opera,N/A (native)"</formula1>
      <formula2>0</formula2>
    </dataValidation>
    <dataValidation allowBlank="false" errorStyle="stop" operator="between" showDropDown="false" showErrorMessage="false" showInputMessage="false" sqref="F24" type="list">
      <formula1>"Production,Staging,Development,QA / Testing"</formula1>
      <formula2>0</formula2>
    </dataValidation>
    <dataValidation allowBlank="false" errorStyle="stop" operator="between" showDropDown="false" showErrorMessage="false" showInputMessage="false" sqref="C47" type="list">
      <formula1>"Alex Kim,Jordan Lee,Sam Rivera,Morgan Chen,Taylor Patel,Unassigned"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7" min="5" style="0" width="16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20"/>
  </cols>
  <sheetData>
    <row r="1" customFormat="false" ht="36" hidden="false" customHeight="true" outlineLevel="0" collapsed="false">
      <c r="A1" s="42" t="s">
        <v>51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customFormat="false" ht="3.7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9.5" hidden="false" customHeight="true" outlineLevel="0" collapsed="false">
      <c r="A3" s="43" t="s">
        <v>52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4" hidden="false" customHeight="true" outlineLevel="0" collapsed="false">
      <c r="A5" s="44" t="s">
        <v>53</v>
      </c>
      <c r="B5" s="44" t="s">
        <v>54</v>
      </c>
      <c r="C5" s="44" t="s">
        <v>55</v>
      </c>
      <c r="D5" s="44" t="s">
        <v>56</v>
      </c>
      <c r="E5" s="44" t="s">
        <v>7</v>
      </c>
      <c r="F5" s="44" t="s">
        <v>57</v>
      </c>
      <c r="G5" s="44" t="s">
        <v>58</v>
      </c>
      <c r="H5" s="44" t="s">
        <v>12</v>
      </c>
      <c r="I5" s="44" t="s">
        <v>59</v>
      </c>
      <c r="J5" s="44" t="s">
        <v>35</v>
      </c>
      <c r="K5" s="44" t="s">
        <v>60</v>
      </c>
      <c r="L5" s="44" t="s">
        <v>37</v>
      </c>
    </row>
    <row r="6" customFormat="false" ht="21.75" hidden="false" customHeight="true" outlineLevel="0" collapsed="false">
      <c r="A6" s="45" t="s">
        <v>61</v>
      </c>
      <c r="B6" s="46" t="n">
        <v>46187</v>
      </c>
      <c r="C6" s="47" t="s">
        <v>62</v>
      </c>
      <c r="D6" s="48" t="s">
        <v>40</v>
      </c>
      <c r="E6" s="47" t="s">
        <v>63</v>
      </c>
      <c r="F6" s="47" t="s">
        <v>64</v>
      </c>
      <c r="G6" s="47" t="s">
        <v>65</v>
      </c>
      <c r="H6" s="47" t="s">
        <v>66</v>
      </c>
      <c r="I6" s="49" t="s">
        <v>67</v>
      </c>
      <c r="J6" s="47" t="s">
        <v>68</v>
      </c>
      <c r="K6" s="47" t="n">
        <v>3</v>
      </c>
      <c r="L6" s="47" t="s">
        <v>69</v>
      </c>
    </row>
    <row r="7" customFormat="false" ht="21.75" hidden="false" customHeight="true" outlineLevel="0" collapsed="false">
      <c r="A7" s="50" t="s">
        <v>70</v>
      </c>
      <c r="B7" s="51" t="n">
        <v>46187</v>
      </c>
      <c r="C7" s="52" t="s">
        <v>71</v>
      </c>
      <c r="D7" s="53" t="s">
        <v>42</v>
      </c>
      <c r="E7" s="52" t="s">
        <v>72</v>
      </c>
      <c r="F7" s="52" t="s">
        <v>73</v>
      </c>
      <c r="G7" s="52" t="s">
        <v>74</v>
      </c>
      <c r="H7" s="52" t="s">
        <v>75</v>
      </c>
      <c r="I7" s="53" t="s">
        <v>76</v>
      </c>
      <c r="J7" s="52" t="s">
        <v>77</v>
      </c>
      <c r="K7" s="52" t="n">
        <v>5</v>
      </c>
      <c r="L7" s="52" t="s">
        <v>78</v>
      </c>
    </row>
    <row r="8" customFormat="false" ht="21.75" hidden="false" customHeight="true" outlineLevel="0" collapsed="false">
      <c r="A8" s="45" t="s">
        <v>79</v>
      </c>
      <c r="B8" s="46" t="n">
        <v>46186</v>
      </c>
      <c r="C8" s="47" t="s">
        <v>80</v>
      </c>
      <c r="D8" s="54" t="s">
        <v>44</v>
      </c>
      <c r="E8" s="47" t="s">
        <v>72</v>
      </c>
      <c r="F8" s="47" t="s">
        <v>81</v>
      </c>
      <c r="G8" s="47" t="s">
        <v>82</v>
      </c>
      <c r="H8" s="47" t="s">
        <v>83</v>
      </c>
      <c r="I8" s="49" t="s">
        <v>67</v>
      </c>
      <c r="J8" s="47" t="s">
        <v>84</v>
      </c>
      <c r="K8" s="47" t="n">
        <v>4</v>
      </c>
      <c r="L8" s="47" t="s">
        <v>85</v>
      </c>
    </row>
    <row r="9" customFormat="false" ht="21.75" hidden="false" customHeight="true" outlineLevel="0" collapsed="false">
      <c r="A9" s="50" t="s">
        <v>86</v>
      </c>
      <c r="B9" s="51" t="n">
        <v>46186</v>
      </c>
      <c r="C9" s="52" t="s">
        <v>87</v>
      </c>
      <c r="D9" s="55" t="s">
        <v>46</v>
      </c>
      <c r="E9" s="52" t="s">
        <v>88</v>
      </c>
      <c r="F9" s="52" t="s">
        <v>89</v>
      </c>
      <c r="G9" s="52" t="s">
        <v>90</v>
      </c>
      <c r="H9" s="52" t="s">
        <v>66</v>
      </c>
      <c r="I9" s="49" t="s">
        <v>67</v>
      </c>
      <c r="J9" s="52" t="s">
        <v>91</v>
      </c>
      <c r="K9" s="52" t="n">
        <v>2</v>
      </c>
      <c r="L9" s="52" t="s">
        <v>92</v>
      </c>
    </row>
    <row r="10" customFormat="false" ht="21.75" hidden="false" customHeight="true" outlineLevel="0" collapsed="false">
      <c r="A10" s="45" t="s">
        <v>93</v>
      </c>
      <c r="B10" s="46" t="n">
        <v>46185</v>
      </c>
      <c r="C10" s="47" t="s">
        <v>94</v>
      </c>
      <c r="D10" s="56" t="s">
        <v>48</v>
      </c>
      <c r="E10" s="47" t="s">
        <v>95</v>
      </c>
      <c r="F10" s="47" t="s">
        <v>96</v>
      </c>
      <c r="G10" s="47" t="s">
        <v>97</v>
      </c>
      <c r="H10" s="47" t="s">
        <v>66</v>
      </c>
      <c r="I10" s="56" t="s">
        <v>98</v>
      </c>
      <c r="J10" s="47" t="s">
        <v>99</v>
      </c>
      <c r="K10" s="47" t="n">
        <v>2</v>
      </c>
      <c r="L10" s="47" t="s">
        <v>100</v>
      </c>
    </row>
    <row r="11" customFormat="false" ht="21.75" hidden="false" customHeight="true" outlineLevel="0" collapsed="false">
      <c r="A11" s="50" t="s">
        <v>101</v>
      </c>
      <c r="B11" s="51" t="n">
        <v>46185</v>
      </c>
      <c r="C11" s="52" t="s">
        <v>102</v>
      </c>
      <c r="D11" s="55" t="s">
        <v>46</v>
      </c>
      <c r="E11" s="52" t="s">
        <v>88</v>
      </c>
      <c r="F11" s="52" t="s">
        <v>103</v>
      </c>
      <c r="G11" s="52" t="s">
        <v>104</v>
      </c>
      <c r="H11" s="52" t="s">
        <v>75</v>
      </c>
      <c r="I11" s="53" t="s">
        <v>76</v>
      </c>
      <c r="J11" s="52" t="s">
        <v>77</v>
      </c>
      <c r="K11" s="52" t="n">
        <v>3</v>
      </c>
      <c r="L11" s="52" t="s">
        <v>105</v>
      </c>
    </row>
  </sheetData>
  <mergeCells count="4">
    <mergeCell ref="A1:L1"/>
    <mergeCell ref="A2:L2"/>
    <mergeCell ref="A3:L3"/>
    <mergeCell ref="A4:L4"/>
  </mergeCells>
  <conditionalFormatting sqref="D6:D300">
    <cfRule type="expression" priority="2" aboveAverage="0" equalAverage="0" bottom="0" percent="0" rank="0" text="" dxfId="0">
      <formula>$D6="🔴 Blocker"</formula>
    </cfRule>
    <cfRule type="expression" priority="3" aboveAverage="0" equalAverage="0" bottom="0" percent="0" rank="0" text="" dxfId="1">
      <formula>$D6="🟠 Critical"</formula>
    </cfRule>
    <cfRule type="expression" priority="4" aboveAverage="0" equalAverage="0" bottom="0" percent="0" rank="0" text="" dxfId="2">
      <formula>$D6="🟡 Major"</formula>
    </cfRule>
    <cfRule type="expression" priority="5" aboveAverage="0" equalAverage="0" bottom="0" percent="0" rank="0" text="" dxfId="3">
      <formula>$D6="🔵 Minor"</formula>
    </cfRule>
    <cfRule type="expression" priority="6" aboveAverage="0" equalAverage="0" bottom="0" percent="0" rank="0" text="" dxfId="4">
      <formula>$D6="🟢 Trivial"</formula>
    </cfRule>
  </conditionalFormatting>
  <conditionalFormatting sqref="I6:I300">
    <cfRule type="expression" priority="7" aboveAverage="0" equalAverage="0" bottom="0" percent="0" rank="0" text="" dxfId="5">
      <formula>$I6="Open"</formula>
    </cfRule>
    <cfRule type="expression" priority="8" aboveAverage="0" equalAverage="0" bottom="0" percent="0" rank="0" text="" dxfId="1">
      <formula>$I6="In Progress"</formula>
    </cfRule>
    <cfRule type="expression" priority="9" aboveAverage="0" equalAverage="0" bottom="0" percent="0" rank="0" text="" dxfId="4">
      <formula>$I6="Closed"</formula>
    </cfRule>
    <cfRule type="expression" priority="10" aboveAverage="0" equalAverage="0" bottom="0" percent="0" rank="0" text="" dxfId="6">
      <formula>$I6="Won't Fix"</formula>
    </cfRule>
  </conditionalFormatting>
  <dataValidations count="2">
    <dataValidation allowBlank="false" errorStyle="stop" operator="between" showDropDown="false" showErrorMessage="false" showInputMessage="false" sqref="D6:D299" type="list">
      <formula1>"🔴 Blocker,🟠 Critical,🟡 Major,🔵 Minor,🟢 Trivial"</formula1>
      <formula2>0</formula2>
    </dataValidation>
    <dataValidation allowBlank="false" errorStyle="stop" operator="between" showDropDown="false" showErrorMessage="false" showInputMessage="false" sqref="I6:I299" type="list">
      <formula1>"Open,In Progress,Closed,Won't Fix,Duplicate,Needs 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57" t="s">
        <v>106</v>
      </c>
      <c r="B2" s="57"/>
      <c r="C2" s="57"/>
      <c r="D2" s="57"/>
      <c r="E2" s="57"/>
      <c r="F2" s="57"/>
      <c r="G2" s="57"/>
      <c r="H2" s="57"/>
    </row>
    <row r="3" customFormat="false" ht="19.5" hidden="false" customHeight="true" outlineLevel="0" collapsed="false">
      <c r="A3" s="3" t="s">
        <v>107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3.5" hidden="false" customHeight="true" outlineLevel="0" collapsed="false">
      <c r="A5" s="1"/>
      <c r="B5" s="1"/>
      <c r="C5" s="1"/>
      <c r="D5" s="1"/>
      <c r="E5" s="1"/>
      <c r="F5" s="1"/>
      <c r="G5" s="1"/>
      <c r="H5" s="1"/>
    </row>
    <row r="6" customFormat="false" ht="45.75" hidden="false" customHeight="true" outlineLevel="0" collapsed="false">
      <c r="B6" s="58" t="n">
        <f aca="false">COUNTA('Bug Log'!A6:A300)</f>
        <v>6</v>
      </c>
      <c r="C6" s="58"/>
      <c r="D6" s="59" t="n">
        <f aca="false">COUNTIF('Bug Log'!D6:D300,"🔴 Blocker")</f>
        <v>1</v>
      </c>
      <c r="E6" s="59"/>
      <c r="F6" s="60" t="n">
        <f aca="false">COUNTIF('Bug Log'!D6:D300,"🟠 Critical")</f>
        <v>1</v>
      </c>
      <c r="G6" s="60"/>
    </row>
    <row r="7" customFormat="false" ht="21.75" hidden="false" customHeight="true" outlineLevel="0" collapsed="false">
      <c r="B7" s="61" t="s">
        <v>108</v>
      </c>
      <c r="C7" s="61"/>
      <c r="D7" s="62" t="s">
        <v>109</v>
      </c>
      <c r="E7" s="62"/>
      <c r="F7" s="63" t="s">
        <v>110</v>
      </c>
      <c r="G7" s="63"/>
    </row>
    <row r="9" customFormat="false" ht="12" hidden="false" customHeight="true" outlineLevel="0" collapsed="false"/>
    <row r="10" customFormat="false" ht="45.75" hidden="false" customHeight="true" outlineLevel="0" collapsed="false">
      <c r="B10" s="64" t="n">
        <f aca="false">COUNTIF('Bug Log'!I6:I300,"Open")</f>
        <v>3</v>
      </c>
      <c r="C10" s="64"/>
      <c r="D10" s="60" t="n">
        <f aca="false">COUNTIF('Bug Log'!I6:I300,"In Progress")</f>
        <v>2</v>
      </c>
      <c r="E10" s="60"/>
      <c r="F10" s="65" t="n">
        <f aca="false">COUNTIF('Bug Log'!I6:I300,"Closed")</f>
        <v>1</v>
      </c>
      <c r="G10" s="65"/>
    </row>
    <row r="11" customFormat="false" ht="21.75" hidden="false" customHeight="true" outlineLevel="0" collapsed="false">
      <c r="B11" s="66" t="s">
        <v>111</v>
      </c>
      <c r="C11" s="66"/>
      <c r="D11" s="63" t="s">
        <v>112</v>
      </c>
      <c r="E11" s="63"/>
      <c r="F11" s="67" t="s">
        <v>113</v>
      </c>
      <c r="G11" s="67"/>
    </row>
    <row r="13" customFormat="false" ht="15.75" hidden="false" customHeight="true" outlineLevel="0" collapsed="false"/>
    <row r="14" customFormat="false" ht="21.75" hidden="false" customHeight="true" outlineLevel="0" collapsed="false">
      <c r="B14" s="15" t="s">
        <v>114</v>
      </c>
      <c r="C14" s="15"/>
      <c r="D14" s="15"/>
      <c r="E14" s="15"/>
      <c r="F14" s="15"/>
      <c r="G14" s="15"/>
    </row>
    <row r="15" customFormat="false" ht="21.75" hidden="false" customHeight="true" outlineLevel="0" collapsed="false">
      <c r="B15" s="68" t="s">
        <v>40</v>
      </c>
      <c r="C15" s="69" t="n">
        <f aca="false">COUNTIF('Bug Log'!D6:D300,"🔴 Blocker")</f>
        <v>1</v>
      </c>
      <c r="D15" s="70" t="str">
        <f aca="false">REPT("█",IFERROR(ROUND(COUNTIF('Bug Log'!D6:D300,"🔴 Blocker")/MAX(COUNTA('Bug Log'!A6:A300),1)*20,0),0))</f>
        <v>███</v>
      </c>
      <c r="E15" s="70"/>
      <c r="F15" s="70"/>
      <c r="G15" s="70"/>
    </row>
    <row r="16" customFormat="false" ht="21.75" hidden="false" customHeight="true" outlineLevel="0" collapsed="false">
      <c r="B16" s="71" t="s">
        <v>42</v>
      </c>
      <c r="C16" s="72" t="n">
        <f aca="false">COUNTIF('Bug Log'!D6:D300,"🟠 Critical")</f>
        <v>1</v>
      </c>
      <c r="D16" s="73" t="str">
        <f aca="false">REPT("█",IFERROR(ROUND(COUNTIF('Bug Log'!D6:D300,"🟠 Critical")/MAX(COUNTA('Bug Log'!A6:A300),1)*20,0),0))</f>
        <v>███</v>
      </c>
      <c r="E16" s="73"/>
      <c r="F16" s="73"/>
      <c r="G16" s="73"/>
    </row>
    <row r="17" customFormat="false" ht="21.75" hidden="false" customHeight="true" outlineLevel="0" collapsed="false">
      <c r="B17" s="74" t="s">
        <v>44</v>
      </c>
      <c r="C17" s="75" t="n">
        <f aca="false">COUNTIF('Bug Log'!D6:D300,"🟡 Major")</f>
        <v>1</v>
      </c>
      <c r="D17" s="76" t="str">
        <f aca="false">REPT("█",IFERROR(ROUND(COUNTIF('Bug Log'!D6:D300,"🟡 Major")/MAX(COUNTA('Bug Log'!A6:A300),1)*20,0),0))</f>
        <v>███</v>
      </c>
      <c r="E17" s="76"/>
      <c r="F17" s="76"/>
      <c r="G17" s="76"/>
    </row>
    <row r="18" customFormat="false" ht="21.75" hidden="false" customHeight="true" outlineLevel="0" collapsed="false">
      <c r="B18" s="77" t="s">
        <v>46</v>
      </c>
      <c r="C18" s="78" t="n">
        <f aca="false">COUNTIF('Bug Log'!D6:D300,"🔵 Minor")</f>
        <v>2</v>
      </c>
      <c r="D18" s="79" t="str">
        <f aca="false">REPT("█",IFERROR(ROUND(COUNTIF('Bug Log'!D6:D300,"🔵 Minor")/MAX(COUNTA('Bug Log'!A6:A300),1)*20,0),0))</f>
        <v>███████</v>
      </c>
      <c r="E18" s="79"/>
      <c r="F18" s="79"/>
      <c r="G18" s="79"/>
    </row>
    <row r="19" customFormat="false" ht="21.75" hidden="false" customHeight="true" outlineLevel="0" collapsed="false">
      <c r="B19" s="80" t="s">
        <v>48</v>
      </c>
      <c r="C19" s="81" t="n">
        <f aca="false">COUNTIF('Bug Log'!D6:D300,"🟢 Trivial")</f>
        <v>1</v>
      </c>
      <c r="D19" s="82" t="str">
        <f aca="false">REPT("█",IFERROR(ROUND(COUNTIF('Bug Log'!D6:D300,"🟢 Trivial")/MAX(COUNTA('Bug Log'!A6:A300),1)*20,0),0))</f>
        <v>███</v>
      </c>
      <c r="E19" s="82"/>
      <c r="F19" s="82"/>
      <c r="G19" s="82"/>
    </row>
    <row r="21" customFormat="false" ht="12" hidden="false" customHeight="true" outlineLevel="0" collapsed="false"/>
    <row r="22" customFormat="false" ht="21.75" hidden="false" customHeight="true" outlineLevel="0" collapsed="false">
      <c r="B22" s="15" t="s">
        <v>115</v>
      </c>
      <c r="C22" s="15"/>
      <c r="D22" s="15"/>
      <c r="E22" s="15"/>
      <c r="F22" s="15"/>
      <c r="G22" s="15"/>
    </row>
    <row r="23" customFormat="false" ht="21.75" hidden="false" customHeight="true" outlineLevel="0" collapsed="false">
      <c r="B23" s="83" t="s">
        <v>67</v>
      </c>
      <c r="C23" s="84" t="n">
        <f aca="false">COUNTIF('Bug Log'!I6:I300,"Open")</f>
        <v>3</v>
      </c>
      <c r="D23" s="85" t="str">
        <f aca="false">REPT("█",IFERROR(ROUND(COUNTIF('Bug Log'!I6:I300,"Open")/MAX(COUNTA('Bug Log'!A6:A300),1)*20,0),0))</f>
        <v>██████████</v>
      </c>
      <c r="E23" s="85"/>
      <c r="F23" s="85"/>
      <c r="G23" s="85"/>
    </row>
    <row r="24" customFormat="false" ht="21.75" hidden="false" customHeight="true" outlineLevel="0" collapsed="false">
      <c r="B24" s="71" t="s">
        <v>76</v>
      </c>
      <c r="C24" s="72" t="n">
        <f aca="false">COUNTIF('Bug Log'!I6:I300,"In Progress")</f>
        <v>2</v>
      </c>
      <c r="D24" s="73" t="str">
        <f aca="false">REPT("█",IFERROR(ROUND(COUNTIF('Bug Log'!I6:I300,"In Progress")/MAX(COUNTA('Bug Log'!A6:A300),1)*20,0),0))</f>
        <v>███████</v>
      </c>
      <c r="E24" s="73"/>
      <c r="F24" s="73"/>
      <c r="G24" s="73"/>
    </row>
    <row r="25" customFormat="false" ht="21.75" hidden="false" customHeight="true" outlineLevel="0" collapsed="false">
      <c r="B25" s="80" t="s">
        <v>98</v>
      </c>
      <c r="C25" s="81" t="n">
        <f aca="false">COUNTIF('Bug Log'!I6:I300,"Closed")</f>
        <v>1</v>
      </c>
      <c r="D25" s="82" t="str">
        <f aca="false">REPT("█",IFERROR(ROUND(COUNTIF('Bug Log'!I6:I300,"Closed")/MAX(COUNTA('Bug Log'!A6:A300),1)*20,0),0))</f>
        <v>███</v>
      </c>
      <c r="E25" s="82"/>
      <c r="F25" s="82"/>
      <c r="G25" s="82"/>
    </row>
    <row r="26" customFormat="false" ht="21.75" hidden="false" customHeight="true" outlineLevel="0" collapsed="false">
      <c r="B26" s="86" t="s">
        <v>116</v>
      </c>
      <c r="C26" s="87" t="n">
        <f aca="false">COUNTIF('Bug Log'!I6:I300,"Won't Fix")</f>
        <v>0</v>
      </c>
      <c r="D26" s="88" t="str">
        <f aca="false">REPT("█",IFERROR(ROUND(COUNTIF('Bug Log'!I6:I300,"Won't Fix")/MAX(COUNTA('Bug Log'!A6:A300),1)*20,0),0))</f>
        <v/>
      </c>
      <c r="E26" s="88"/>
      <c r="F26" s="88"/>
      <c r="G26" s="88"/>
    </row>
    <row r="27" customFormat="false" ht="21.75" hidden="false" customHeight="true" outlineLevel="0" collapsed="false">
      <c r="B27" s="89" t="s">
        <v>117</v>
      </c>
      <c r="C27" s="90" t="n">
        <f aca="false">COUNTIF('Bug Log'!I6:I300,"Duplicate")</f>
        <v>0</v>
      </c>
      <c r="D27" s="91" t="str">
        <f aca="false">REPT("█",IFERROR(ROUND(COUNTIF('Bug Log'!I6:I300,"Duplicate")/MAX(COUNTA('Bug Log'!A6:A300),1)*20,0),0))</f>
        <v/>
      </c>
      <c r="E27" s="91"/>
      <c r="F27" s="91"/>
      <c r="G27" s="91"/>
    </row>
    <row r="28" customFormat="false" ht="21.75" hidden="false" customHeight="true" outlineLevel="0" collapsed="false">
      <c r="B28" s="92" t="s">
        <v>118</v>
      </c>
      <c r="C28" s="93" t="n">
        <f aca="false">COUNTIF('Bug Log'!I6:I300,"Needs Info")</f>
        <v>0</v>
      </c>
      <c r="D28" s="94" t="str">
        <f aca="false">REPT("█",IFERROR(ROUND(COUNTIF('Bug Log'!I6:I300,"Needs Info")/MAX(COUNTA('Bug Log'!A6:A300),1)*20,0),0))</f>
        <v/>
      </c>
      <c r="E28" s="94"/>
      <c r="F28" s="94"/>
      <c r="G28" s="94"/>
    </row>
    <row r="30" customFormat="false" ht="12" hidden="false" customHeight="true" outlineLevel="0" collapsed="false"/>
    <row r="31" customFormat="false" ht="21.75" hidden="false" customHeight="true" outlineLevel="0" collapsed="false">
      <c r="B31" s="30" t="s">
        <v>119</v>
      </c>
      <c r="C31" s="30"/>
      <c r="D31" s="30"/>
      <c r="E31" s="30"/>
      <c r="F31" s="30"/>
      <c r="G31" s="30"/>
    </row>
    <row r="32" customFormat="false" ht="19.5" hidden="false" customHeight="true" outlineLevel="0" collapsed="false">
      <c r="B32" s="95" t="s">
        <v>120</v>
      </c>
      <c r="C32" s="95"/>
      <c r="D32" s="95"/>
      <c r="E32" s="95"/>
      <c r="F32" s="95"/>
      <c r="G32" s="95"/>
    </row>
    <row r="33" customFormat="false" ht="19.5" hidden="false" customHeight="true" outlineLevel="0" collapsed="false">
      <c r="B33" s="95" t="s">
        <v>121</v>
      </c>
      <c r="C33" s="95"/>
      <c r="D33" s="95"/>
      <c r="E33" s="95"/>
      <c r="F33" s="95"/>
      <c r="G33" s="95"/>
    </row>
    <row r="34" customFormat="false" ht="19.5" hidden="false" customHeight="true" outlineLevel="0" collapsed="false">
      <c r="B34" s="95" t="s">
        <v>122</v>
      </c>
      <c r="C34" s="95"/>
      <c r="D34" s="95"/>
      <c r="E34" s="95"/>
      <c r="F34" s="95"/>
      <c r="G34" s="95"/>
    </row>
    <row r="35" customFormat="false" ht="19.5" hidden="false" customHeight="true" outlineLevel="0" collapsed="false">
      <c r="B35" s="95" t="s">
        <v>123</v>
      </c>
      <c r="C35" s="95"/>
      <c r="D35" s="95"/>
      <c r="E35" s="95"/>
      <c r="F35" s="95"/>
      <c r="G35" s="95"/>
    </row>
    <row r="36" customFormat="false" ht="19.5" hidden="false" customHeight="true" outlineLevel="0" collapsed="false">
      <c r="B36" s="95" t="s">
        <v>124</v>
      </c>
      <c r="C36" s="95"/>
      <c r="D36" s="95"/>
      <c r="E36" s="95"/>
      <c r="F36" s="95"/>
      <c r="G36" s="95"/>
    </row>
  </sheetData>
  <mergeCells count="36">
    <mergeCell ref="A1:H1"/>
    <mergeCell ref="A2:H2"/>
    <mergeCell ref="A3:H3"/>
    <mergeCell ref="A4:H4"/>
    <mergeCell ref="A5:H5"/>
    <mergeCell ref="B6:C6"/>
    <mergeCell ref="D6:E6"/>
    <mergeCell ref="F6:G6"/>
    <mergeCell ref="B7:C7"/>
    <mergeCell ref="D7:E7"/>
    <mergeCell ref="F7:G7"/>
    <mergeCell ref="B10:C10"/>
    <mergeCell ref="D10:E10"/>
    <mergeCell ref="F10:G10"/>
    <mergeCell ref="B11:C11"/>
    <mergeCell ref="D11:E11"/>
    <mergeCell ref="F11:G11"/>
    <mergeCell ref="B14:G14"/>
    <mergeCell ref="D15:G15"/>
    <mergeCell ref="D16:G16"/>
    <mergeCell ref="D17:G17"/>
    <mergeCell ref="D18:G18"/>
    <mergeCell ref="D19:G19"/>
    <mergeCell ref="B22:G22"/>
    <mergeCell ref="D23:G23"/>
    <mergeCell ref="D24:G24"/>
    <mergeCell ref="D25:G25"/>
    <mergeCell ref="D26:G26"/>
    <mergeCell ref="D27:G27"/>
    <mergeCell ref="D28:G28"/>
    <mergeCell ref="B31:G31"/>
    <mergeCell ref="B32:G32"/>
    <mergeCell ref="B33:G33"/>
    <mergeCell ref="B34:G34"/>
    <mergeCell ref="B35:G35"/>
    <mergeCell ref="B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2026-06-14T12:26:05Z</dcterms:created>
  <dc:creator>openpyxl</dc:creator>
  <dc:description/>
  <dc:language>en-US</dc:language>
  <cp:lastModifiedBy/>
  <dcterms:modified xsi:type="dcterms:W3CDTF">2026-06-14T12:26:06Z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