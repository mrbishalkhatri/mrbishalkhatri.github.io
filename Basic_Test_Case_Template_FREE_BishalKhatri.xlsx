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i val="1"/>
      <color rgb="00AADDCC"/>
      <sz val="13"/>
    </font>
    <font>
      <name val="Calibri"/>
      <b val="1"/>
      <color rgb="00C8963E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D6EFE9"/>
      <sz val="9"/>
    </font>
    <font>
      <name val="Calibri"/>
      <color rgb="00AADDCC"/>
      <sz val="9"/>
    </font>
    <font>
      <name val="Calibri"/>
      <b val="1"/>
      <color rgb="00FFFFFF"/>
      <sz val="10"/>
    </font>
    <font>
      <name val="Calibri"/>
      <i val="1"/>
      <color rgb="007ABAAA"/>
      <sz val="8"/>
    </font>
    <font>
      <name val="Calibri"/>
      <i val="1"/>
      <color rgb="002A7C6F"/>
      <sz val="8"/>
    </font>
    <font>
      <name val="Calibri"/>
      <b val="1"/>
      <color rgb="001F5C52"/>
      <sz val="9"/>
    </font>
    <font>
      <name val="Calibri"/>
      <color rgb="000D0D0D"/>
      <sz val="9"/>
    </font>
    <font>
      <name val="Calibri"/>
      <b val="1"/>
      <color rgb="00FFFFFF"/>
      <sz val="9"/>
    </font>
    <font>
      <name val="Calibri"/>
      <b val="1"/>
      <color rgb="002A7C6F"/>
      <sz val="9"/>
    </font>
    <font>
      <name val="Calibri"/>
      <b val="1"/>
      <color rgb="00FFFFFF"/>
      <sz val="14"/>
    </font>
    <font>
      <name val="Calibri"/>
      <b val="1"/>
      <color rgb="00FFFFFF"/>
      <sz val="8"/>
    </font>
    <font>
      <name val="Calibri"/>
      <b val="1"/>
      <color rgb="001F5C52"/>
      <sz val="22"/>
    </font>
    <font>
      <name val="Calibri"/>
      <b val="1"/>
      <color rgb="001F5C52"/>
      <sz val="18"/>
    </font>
    <font>
      <name val="Calibri"/>
      <b val="1"/>
      <color rgb="00C62828"/>
      <sz val="9"/>
    </font>
    <font>
      <name val="Calibri"/>
      <b val="1"/>
      <color rgb="00E65100"/>
      <sz val="9"/>
    </font>
    <font>
      <name val="Calibri"/>
      <b val="1"/>
      <color rgb="006D4A1E"/>
      <sz val="9"/>
    </font>
    <font>
      <name val="Calibri"/>
      <b val="1"/>
      <color rgb="002E7D32"/>
      <sz val="9"/>
    </font>
    <font>
      <name val="Calibri"/>
      <b val="1"/>
      <color rgb="00FFFFFF"/>
      <sz val="13"/>
    </font>
    <font>
      <name val="Calibri"/>
      <b val="1"/>
      <i val="1"/>
      <color rgb="002A7C6F"/>
      <sz val="9"/>
    </font>
  </fonts>
  <fills count="24">
    <fill>
      <patternFill/>
    </fill>
    <fill>
      <patternFill patternType="gray125"/>
    </fill>
    <fill>
      <patternFill patternType="solid">
        <fgColor rgb="001F5C52"/>
      </patternFill>
    </fill>
    <fill>
      <patternFill patternType="solid">
        <fgColor rgb="00C8963E"/>
      </patternFill>
    </fill>
    <fill>
      <patternFill patternType="solid">
        <fgColor rgb="00245C52"/>
      </patternFill>
    </fill>
    <fill>
      <patternFill patternType="solid">
        <fgColor rgb="00EAF5F2"/>
      </patternFill>
    </fill>
    <fill>
      <patternFill patternType="solid">
        <fgColor rgb="00D6EFE9"/>
      </patternFill>
    </fill>
    <fill>
      <patternFill patternType="solid">
        <fgColor rgb="00FFFFFF"/>
      </patternFill>
    </fill>
    <fill>
      <patternFill patternType="solid">
        <fgColor rgb="002E7D32"/>
      </patternFill>
    </fill>
    <fill>
      <patternFill patternType="solid">
        <fgColor rgb="00D4EDDA"/>
      </patternFill>
    </fill>
    <fill>
      <patternFill patternType="solid">
        <fgColor rgb="00C62828"/>
      </patternFill>
    </fill>
    <fill>
      <patternFill patternType="solid">
        <fgColor rgb="00F8D7DA"/>
      </patternFill>
    </fill>
    <fill>
      <patternFill patternType="solid">
        <fgColor rgb="00E65100"/>
      </patternFill>
    </fill>
    <fill>
      <patternFill patternType="solid">
        <fgColor rgb="00FFF3CD"/>
      </patternFill>
    </fill>
    <fill>
      <patternFill patternType="solid">
        <fgColor rgb="001565C0"/>
      </patternFill>
    </fill>
    <fill>
      <patternFill patternType="solid">
        <fgColor rgb="00D1ECF1"/>
      </patternFill>
    </fill>
    <fill>
      <patternFill patternType="solid">
        <fgColor rgb="007A7068"/>
      </patternFill>
    </fill>
    <fill>
      <patternFill patternType="solid">
        <fgColor rgb="00444444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2A7C6F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FFFFF"/>
      </left>
      <right style="medium">
        <color rgb="00FFFFFF"/>
      </right>
      <top style="thin">
        <color rgb="00AADDCC"/>
      </top>
      <bottom style="thin">
        <color rgb="00AADDCC"/>
      </bottom>
    </border>
    <border>
      <left style="thin">
        <color rgb="001F5C52"/>
      </left>
      <right style="thin">
        <color rgb="001F5C52"/>
      </right>
      <top style="thin">
        <color rgb="001F5C52"/>
      </top>
      <bottom style="thin">
        <color rgb="001F5C52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left" vertical="center"/>
    </xf>
    <xf numFmtId="0" fontId="13" fillId="2" borderId="2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top" wrapText="1"/>
    </xf>
    <xf numFmtId="0" fontId="11" fillId="6" borderId="3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10" borderId="4" applyAlignment="1" pivotButton="0" quotePrefix="0" xfId="0">
      <alignment horizontal="center" vertical="center"/>
    </xf>
    <xf numFmtId="0" fontId="16" fillId="12" borderId="4" applyAlignment="1" pivotButton="0" quotePrefix="0" xfId="0">
      <alignment horizontal="center" vertical="center"/>
    </xf>
    <xf numFmtId="0" fontId="16" fillId="14" borderId="4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16" fillId="16" borderId="4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8" fillId="9" borderId="3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left" vertical="center"/>
    </xf>
    <xf numFmtId="0" fontId="12" fillId="18" borderId="1" applyAlignment="1" pivotButton="0" quotePrefix="0" xfId="0">
      <alignment horizontal="center" vertical="center"/>
    </xf>
    <xf numFmtId="0" fontId="20" fillId="19" borderId="1" applyAlignment="1" pivotButton="0" quotePrefix="0" xfId="0">
      <alignment horizontal="left" vertical="center"/>
    </xf>
    <xf numFmtId="0" fontId="12" fillId="19" borderId="1" applyAlignment="1" pivotButton="0" quotePrefix="0" xfId="0">
      <alignment horizontal="center" vertical="center"/>
    </xf>
    <xf numFmtId="0" fontId="21" fillId="20" borderId="1" applyAlignment="1" pivotButton="0" quotePrefix="0" xfId="0">
      <alignment horizontal="left" vertical="center"/>
    </xf>
    <xf numFmtId="0" fontId="12" fillId="20" borderId="1" applyAlignment="1" pivotButton="0" quotePrefix="0" xfId="0">
      <alignment horizontal="center" vertical="center"/>
    </xf>
    <xf numFmtId="0" fontId="22" fillId="21" borderId="1" applyAlignment="1" pivotButton="0" quotePrefix="0" xfId="0">
      <alignment horizontal="left" vertical="center"/>
    </xf>
    <xf numFmtId="0" fontId="12" fillId="21" borderId="1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left" vertical="center"/>
    </xf>
    <xf numFmtId="0" fontId="12" fillId="23" borderId="1" applyAlignment="1" pivotButton="0" quotePrefix="0" xfId="0">
      <alignment horizontal="left" vertical="top" wrapText="1"/>
    </xf>
    <xf numFmtId="0" fontId="24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ont>
        <name val="Calibri"/>
        <sz val="9"/>
      </font>
      <fill>
        <patternFill patternType="solid">
          <fgColor rgb="00D4EDDA"/>
        </patternFill>
      </fill>
    </dxf>
    <dxf>
      <font>
        <name val="Calibri"/>
        <sz val="9"/>
      </font>
      <fill>
        <patternFill patternType="solid">
          <fgColor rgb="00F8D7DA"/>
        </patternFill>
      </fill>
    </dxf>
    <dxf>
      <font>
        <name val="Calibri"/>
        <sz val="9"/>
      </font>
      <fill>
        <patternFill patternType="solid">
          <fgColor rgb="00FFF3CD"/>
        </patternFill>
      </fill>
    </dxf>
    <dxf>
      <font>
        <name val="Calibri"/>
        <sz val="9"/>
      </font>
      <fill>
        <patternFill patternType="solid">
          <fgColor rgb="00D1ECF1"/>
        </patternFill>
      </fill>
    </dxf>
    <dxf>
      <font>
        <name val="Calibri"/>
        <b val="1"/>
        <color rgb="00C62828"/>
        <sz val="9"/>
      </font>
      <fill>
        <patternFill patternType="solid">
          <fgColor rgb="00FFEBEE"/>
        </patternFill>
      </fill>
    </dxf>
    <dxf>
      <font>
        <name val="Calibri"/>
        <b val="1"/>
        <color rgb="00E65100"/>
        <sz val="9"/>
      </font>
      <fill>
        <patternFill patternType="solid">
          <fgColor rgb="00FFF3E0"/>
        </patternFill>
      </fill>
    </dxf>
    <dxf>
      <font>
        <name val="Calibri"/>
        <b val="1"/>
        <color rgb="006D4A1E"/>
        <sz val="9"/>
      </font>
      <fill>
        <patternFill patternType="solid">
          <fgColor rgb="00FFF9C4"/>
        </patternFill>
      </fill>
    </dxf>
    <dxf>
      <font>
        <name val="Calibri"/>
        <b val="1"/>
        <color rgb="002E7D32"/>
        <sz val="9"/>
      </font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5C52"/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0" customWidth="1" min="3" max="3"/>
    <col width="30" customWidth="1" min="4" max="4"/>
    <col width="20" customWidth="1" min="5" max="5"/>
    <col width="20" customWidth="1" min="6" max="6"/>
    <col width="8" customWidth="1" min="7" max="7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</row>
    <row r="2" ht="18" customHeight="1">
      <c r="A2" s="1" t="n"/>
      <c r="B2" s="1" t="n"/>
      <c r="C2" s="1" t="n"/>
      <c r="D2" s="1" t="n"/>
      <c r="E2" s="1" t="n"/>
      <c r="F2" s="1" t="n"/>
      <c r="G2" s="1" t="n"/>
    </row>
    <row r="3" ht="5" customHeight="1">
      <c r="A3" s="2" t="n"/>
      <c r="B3" s="2" t="n"/>
      <c r="C3" s="2" t="n"/>
      <c r="D3" s="2" t="n"/>
      <c r="E3" s="2" t="n"/>
      <c r="F3" s="2" t="n"/>
      <c r="G3" s="2" t="n"/>
    </row>
    <row r="4" ht="18" customHeight="1">
      <c r="A4" s="1" t="n"/>
      <c r="B4" s="1" t="n"/>
      <c r="C4" s="1" t="n"/>
      <c r="D4" s="1" t="n"/>
      <c r="E4" s="1" t="n"/>
      <c r="F4" s="1" t="n"/>
      <c r="G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</row>
    <row r="6" ht="42" customHeight="1">
      <c r="A6" s="1" t="n"/>
      <c r="B6" s="3" t="inlineStr">
        <is>
          <t>QA TEST CASE TEMPLATE</t>
        </is>
      </c>
      <c r="G6" s="1" t="n"/>
    </row>
    <row r="7" ht="22" customHeight="1">
      <c r="A7" s="1" t="n"/>
      <c r="B7" s="4" t="inlineStr">
        <is>
          <t>Professional Test Case Documentation</t>
        </is>
      </c>
      <c r="G7" s="1" t="n"/>
    </row>
    <row r="8" ht="18" customHeight="1">
      <c r="A8" s="1" t="n"/>
      <c r="B8" s="1" t="n"/>
      <c r="C8" s="1" t="n"/>
      <c r="D8" s="1" t="n"/>
      <c r="E8" s="1" t="n"/>
      <c r="F8" s="1" t="n"/>
      <c r="G8" s="1" t="n"/>
    </row>
    <row r="9" ht="20" customHeight="1">
      <c r="A9" s="1" t="n"/>
      <c r="B9" s="5" t="inlineStr">
        <is>
          <t>⭐  FREE TEMPLATE  ⭐</t>
        </is>
      </c>
      <c r="G9" s="1" t="n"/>
    </row>
    <row r="10" ht="18" customHeight="1">
      <c r="A10" s="1" t="n"/>
      <c r="B10" s="1" t="n"/>
      <c r="C10" s="1" t="n"/>
      <c r="D10" s="1" t="n"/>
      <c r="E10" s="1" t="n"/>
      <c r="F10" s="1" t="n"/>
      <c r="G10" s="1" t="n"/>
    </row>
    <row r="11" ht="2" customHeight="1">
      <c r="A11" s="1" t="n"/>
      <c r="B11" s="6" t="n"/>
      <c r="C11" s="6" t="n"/>
      <c r="D11" s="6" t="n"/>
      <c r="E11" s="6" t="n"/>
      <c r="F11" s="6" t="n"/>
      <c r="G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</row>
    <row r="13" ht="20" customHeight="1">
      <c r="A13" s="1" t="n"/>
      <c r="B13" s="7" t="inlineStr">
        <is>
          <t>What's Inside</t>
        </is>
      </c>
      <c r="G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</row>
    <row r="15" ht="16" customHeight="1">
      <c r="A15" s="1" t="n"/>
      <c r="B15" s="8" t="inlineStr">
        <is>
          <t>📋</t>
        </is>
      </c>
      <c r="C15" s="9" t="inlineStr">
        <is>
          <t>Test Cases Sheet</t>
        </is>
      </c>
      <c r="E15" s="10" t="inlineStr">
        <is>
          <t>100 pre-formatted rows with dropdowns for Status, Priority &amp; Type</t>
        </is>
      </c>
      <c r="G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</row>
    <row r="17" ht="16" customHeight="1">
      <c r="A17" s="1" t="n"/>
      <c r="B17" s="8" t="inlineStr">
        <is>
          <t>📊</t>
        </is>
      </c>
      <c r="C17" s="9" t="inlineStr">
        <is>
          <t>Dashboard Sheet</t>
        </is>
      </c>
      <c r="E17" s="10" t="inlineStr">
        <is>
          <t>Auto-calculated pass/fail metrics and progress tracker</t>
        </is>
      </c>
      <c r="G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</row>
    <row r="19" ht="16" customHeight="1">
      <c r="A19" s="1" t="n"/>
      <c r="B19" s="8" t="inlineStr">
        <is>
          <t>📖</t>
        </is>
      </c>
      <c r="C19" s="9" t="inlineStr">
        <is>
          <t>Instructions Sheet</t>
        </is>
      </c>
      <c r="E19" s="10" t="inlineStr">
        <is>
          <t>Step-by-step guide on writing effective test cases</t>
        </is>
      </c>
      <c r="G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</row>
    <row r="21" ht="16" customHeight="1">
      <c r="A21" s="1" t="n"/>
      <c r="B21" s="8" t="inlineStr">
        <is>
          <t>📝</t>
        </is>
      </c>
      <c r="C21" s="9" t="inlineStr">
        <is>
          <t>Sample Sheet</t>
        </is>
      </c>
      <c r="E21" s="10" t="inlineStr">
        <is>
          <t>3 real-world example test cases to get you started instantly</t>
        </is>
      </c>
      <c r="G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</row>
    <row r="23" ht="16" customHeight="1">
      <c r="A23" s="1" t="n"/>
      <c r="B23" s="8" t="inlineStr">
        <is>
          <t>✅</t>
        </is>
      </c>
      <c r="C23" s="9" t="inlineStr">
        <is>
          <t>Data Validation</t>
        </is>
      </c>
      <c r="E23" s="10" t="inlineStr">
        <is>
          <t>Dropdown menus prevent typos — Status, Priority, Type all validated</t>
        </is>
      </c>
      <c r="G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</row>
    <row r="25" ht="16" customHeight="1">
      <c r="A25" s="1" t="n"/>
      <c r="B25" s="8" t="inlineStr">
        <is>
          <t>🎨</t>
        </is>
      </c>
      <c r="C25" s="9" t="inlineStr">
        <is>
          <t>Color Coding</t>
        </is>
      </c>
      <c r="E25" s="10" t="inlineStr">
        <is>
          <t>Conditional formatting highlights Pass (green), Fail (red), Blocked (amber)</t>
        </is>
      </c>
      <c r="G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</row>
    <row r="28" ht="2" customHeight="1">
      <c r="A28" s="1" t="n"/>
      <c r="B28" s="6" t="n"/>
      <c r="C28" s="6" t="n"/>
      <c r="D28" s="6" t="n"/>
      <c r="E28" s="6" t="n"/>
      <c r="F28" s="6" t="n"/>
      <c r="G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</row>
    <row r="30" ht="18" customHeight="1">
      <c r="A30" s="1" t="n"/>
      <c r="B30" s="11" t="inlineStr">
        <is>
          <t>Created by Bishal Khatri — QA Engineer</t>
        </is>
      </c>
      <c r="G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</row>
    <row r="32" ht="16" customHeight="1">
      <c r="A32" s="1" t="n"/>
      <c r="B32" s="12" t="inlineStr">
        <is>
          <t>🌐  mrbishalkhatri.github.io</t>
        </is>
      </c>
      <c r="G32" s="1" t="n"/>
    </row>
    <row r="33" ht="16" customHeight="1">
      <c r="A33" s="1" t="n"/>
      <c r="B33" s="12" t="inlineStr">
        <is>
          <t>💼  linkedin.com/in/qa-bishal-khatri</t>
        </is>
      </c>
      <c r="G33" s="1" t="n"/>
    </row>
    <row r="34" ht="16" customHeight="1">
      <c r="A34" s="1" t="n"/>
      <c r="B34" s="12" t="inlineStr">
        <is>
          <t>✉️  bishalkhatrichettri1@gmail.com</t>
        </is>
      </c>
      <c r="G34" s="1" t="n"/>
    </row>
    <row r="35" ht="16" customHeight="1">
      <c r="A35" s="1" t="n"/>
      <c r="B35" s="12" t="inlineStr">
        <is>
          <t>🐦  @ProjectCraftman</t>
        </is>
      </c>
      <c r="G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</row>
    <row r="38" ht="18" customHeight="1">
      <c r="A38" s="1" t="n"/>
      <c r="B38" s="13" t="inlineStr">
        <is>
          <t>Free to use · Share it · Credit appreciated · Not for resale</t>
        </is>
      </c>
      <c r="G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</row>
    <row r="40" ht="4" customHeight="1">
      <c r="A40" s="2" t="n"/>
      <c r="B40" s="2" t="n"/>
      <c r="C40" s="2" t="n"/>
      <c r="D40" s="2" t="n"/>
      <c r="E40" s="2" t="n"/>
      <c r="F40" s="2" t="n"/>
      <c r="G40" s="2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</row>
  </sheetData>
  <mergeCells count="28">
    <mergeCell ref="B7:F7"/>
    <mergeCell ref="C15:D15"/>
    <mergeCell ref="B15"/>
    <mergeCell ref="E23:F23"/>
    <mergeCell ref="E17:F17"/>
    <mergeCell ref="C25:D25"/>
    <mergeCell ref="E19:F19"/>
    <mergeCell ref="B25"/>
    <mergeCell ref="B13:F13"/>
    <mergeCell ref="C21:D21"/>
    <mergeCell ref="B38:F38"/>
    <mergeCell ref="E15:F15"/>
    <mergeCell ref="B34:F34"/>
    <mergeCell ref="B21"/>
    <mergeCell ref="C23:D23"/>
    <mergeCell ref="C17:D17"/>
    <mergeCell ref="B9:F9"/>
    <mergeCell ref="B23"/>
    <mergeCell ref="B30:F30"/>
    <mergeCell ref="B17"/>
    <mergeCell ref="B6:F6"/>
    <mergeCell ref="E25:F25"/>
    <mergeCell ref="B33:F33"/>
    <mergeCell ref="C19:D19"/>
    <mergeCell ref="B32:F32"/>
    <mergeCell ref="B19"/>
    <mergeCell ref="E21:F21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C6F"/>
    <outlinePr summaryBelow="1" summaryRight="1"/>
    <pageSetUpPr/>
  </sheetPr>
  <dimension ref="A1:J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38" customWidth="1" min="4" max="4"/>
    <col width="34" customWidth="1" min="5" max="5"/>
    <col width="28" customWidth="1" min="6" max="6"/>
    <col width="11" customWidth="1" min="7" max="7"/>
    <col width="10" customWidth="1" min="8" max="8"/>
    <col width="16" customWidth="1" min="9" max="9"/>
    <col width="18" customWidth="1" min="10" max="10"/>
  </cols>
  <sheetData>
    <row r="1" ht="26" customHeight="1">
      <c r="A1" s="14" t="inlineStr">
        <is>
          <t>QA TEST CASE TEMPLATE — by Bishal Khatri | mrbishalkhatri.github.io</t>
        </is>
      </c>
    </row>
    <row r="2" ht="15" customHeight="1">
      <c r="A2" s="15" t="inlineStr">
        <is>
          <t>FREE TEMPLATE · Replace sample data · Dropdowns pre-configured · Colour coding auto-applied</t>
        </is>
      </c>
    </row>
    <row r="3" ht="20" customHeight="1">
      <c r="A3" s="16" t="inlineStr">
        <is>
          <t>Project:</t>
        </is>
      </c>
      <c r="B3" s="17" t="inlineStr"/>
      <c r="C3" s="16" t="inlineStr">
        <is>
          <t>Module:</t>
        </is>
      </c>
      <c r="D3" s="17" t="inlineStr"/>
      <c r="E3" s="16" t="inlineStr">
        <is>
          <t>Tester:</t>
        </is>
      </c>
      <c r="F3" s="17" t="inlineStr"/>
      <c r="G3" s="16" t="inlineStr">
        <is>
          <t>Date:</t>
        </is>
      </c>
      <c r="H3" s="17" t="inlineStr"/>
      <c r="I3" s="16" t="inlineStr">
        <is>
          <t>Version:</t>
        </is>
      </c>
      <c r="J3" s="17" t="inlineStr"/>
    </row>
    <row r="4" ht="28" customHeight="1">
      <c r="A4" s="18" t="inlineStr">
        <is>
          <t>TC-ID</t>
        </is>
      </c>
      <c r="B4" s="18" t="inlineStr">
        <is>
          <t>Test Scenario</t>
        </is>
      </c>
      <c r="C4" s="18" t="inlineStr">
        <is>
          <t>Preconditions</t>
        </is>
      </c>
      <c r="D4" s="18" t="inlineStr">
        <is>
          <t>Test Steps</t>
        </is>
      </c>
      <c r="E4" s="18" t="inlineStr">
        <is>
          <t>Expected Result</t>
        </is>
      </c>
      <c r="F4" s="18" t="inlineStr">
        <is>
          <t>Actual Result</t>
        </is>
      </c>
      <c r="G4" s="18" t="inlineStr">
        <is>
          <t>Status</t>
        </is>
      </c>
      <c r="H4" s="18" t="inlineStr">
        <is>
          <t>Priority</t>
        </is>
      </c>
      <c r="I4" s="18" t="inlineStr">
        <is>
          <t>Type</t>
        </is>
      </c>
      <c r="J4" s="18" t="inlineStr">
        <is>
          <t>Notes</t>
        </is>
      </c>
    </row>
    <row r="5" ht="52" customHeight="1">
      <c r="A5" s="19" t="inlineStr">
        <is>
          <t>TC-001</t>
        </is>
      </c>
      <c r="B5" s="20" t="inlineStr">
        <is>
          <t>[Login] Valid credentials redirect to dashboard</t>
        </is>
      </c>
      <c r="C5" s="20" t="inlineStr">
        <is>
          <t>• User account exists and is active
• App running on test environment</t>
        </is>
      </c>
      <c r="D5" s="20" t="inlineStr">
        <is>
          <t>1. Navigate to /login
2. Enter valid email: test@example.com
3. Enter valid password: Test@123
4. Click 'Login' button</t>
        </is>
      </c>
      <c r="E5" s="20" t="inlineStr">
        <is>
          <t>• User redirected to /dashboard
• Welcome message shown: 'Welcome, [Name]'
• Session cookie set correctly</t>
        </is>
      </c>
      <c r="F5" s="20" t="inlineStr"/>
      <c r="G5" s="20" t="inlineStr">
        <is>
          <t>Pass</t>
        </is>
      </c>
      <c r="H5" s="20" t="inlineStr">
        <is>
          <t>High</t>
        </is>
      </c>
      <c r="I5" s="20" t="inlineStr">
        <is>
          <t>Functional</t>
        </is>
      </c>
      <c r="J5" s="20" t="inlineStr">
        <is>
          <t>Core happy path — run this first every sprint</t>
        </is>
      </c>
    </row>
    <row r="6" ht="52" customHeight="1">
      <c r="A6" s="21" t="inlineStr">
        <is>
          <t>TC-002</t>
        </is>
      </c>
      <c r="B6" s="22" t="inlineStr">
        <is>
          <t>[Login] Empty password field shows validation error</t>
        </is>
      </c>
      <c r="C6" s="22" t="inlineStr">
        <is>
          <t>• App running on test environment</t>
        </is>
      </c>
      <c r="D6" s="22" t="inlineStr">
        <is>
          <t>1. Navigate to /login
2. Enter valid email
3. Leave password field empty
4. Click 'Login' button</t>
        </is>
      </c>
      <c r="E6" s="22" t="inlineStr">
        <is>
          <t>• Error message shown: 'Password is required'
• User remains on login page
• No network request sent</t>
        </is>
      </c>
      <c r="F6" s="22" t="inlineStr"/>
      <c r="G6" s="22" t="inlineStr">
        <is>
          <t>Not Run</t>
        </is>
      </c>
      <c r="H6" s="22" t="inlineStr">
        <is>
          <t>High</t>
        </is>
      </c>
      <c r="I6" s="22" t="inlineStr">
        <is>
          <t>Negative</t>
        </is>
      </c>
      <c r="J6" s="22" t="inlineStr">
        <is>
          <t>Check error message is specific, not generic</t>
        </is>
      </c>
    </row>
    <row r="7" ht="52" customHeight="1">
      <c r="A7" s="19" t="inlineStr">
        <is>
          <t>TC-003</t>
        </is>
      </c>
      <c r="B7" s="20" t="inlineStr">
        <is>
          <t>[Login] Wrong password shows error without revealing user existence</t>
        </is>
      </c>
      <c r="C7" s="20" t="inlineStr">
        <is>
          <t>• Valid account exists for test@example.com</t>
        </is>
      </c>
      <c r="D7" s="20" t="inlineStr">
        <is>
          <t>1. Navigate to /login
2. Enter valid email: test@example.com
3. Enter wrong password: WrongPass!
4. Click 'Login' button</t>
        </is>
      </c>
      <c r="E7" s="20" t="inlineStr">
        <is>
          <t>• Generic error shown: 'Invalid email or password'
• Error does NOT say 'Wrong password' or 'User found'
• Account not locked after 1 attempt</t>
        </is>
      </c>
      <c r="F7" s="20" t="inlineStr"/>
      <c r="G7" s="20" t="inlineStr">
        <is>
          <t>Not Run</t>
        </is>
      </c>
      <c r="H7" s="20" t="inlineStr">
        <is>
          <t>Critical</t>
        </is>
      </c>
      <c r="I7" s="20" t="inlineStr">
        <is>
          <t>Security</t>
        </is>
      </c>
      <c r="J7" s="20" t="inlineStr">
        <is>
          <t>Verify no user enumeration — security critical</t>
        </is>
      </c>
    </row>
    <row r="8" ht="40" customHeight="1">
      <c r="A8" s="23" t="inlineStr">
        <is>
          <t>TC-004</t>
        </is>
      </c>
      <c r="B8" s="24" t="inlineStr"/>
      <c r="C8" s="24" t="inlineStr"/>
      <c r="D8" s="24" t="inlineStr"/>
      <c r="E8" s="24" t="inlineStr"/>
      <c r="F8" s="24" t="inlineStr"/>
      <c r="G8" s="24" t="inlineStr"/>
      <c r="H8" s="24" t="inlineStr"/>
      <c r="I8" s="24" t="inlineStr"/>
      <c r="J8" s="24" t="inlineStr"/>
    </row>
    <row r="9" ht="40" customHeight="1">
      <c r="A9" s="25" t="inlineStr">
        <is>
          <t>TC-005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6" t="inlineStr"/>
      <c r="J9" s="26" t="inlineStr"/>
    </row>
    <row r="10" ht="40" customHeight="1">
      <c r="A10" s="23" t="inlineStr">
        <is>
          <t>TC-006</t>
        </is>
      </c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  <c r="I10" s="24" t="inlineStr"/>
      <c r="J10" s="24" t="inlineStr"/>
    </row>
    <row r="11" ht="40" customHeight="1">
      <c r="A11" s="25" t="inlineStr">
        <is>
          <t>TC-007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</row>
    <row r="12" ht="40" customHeight="1">
      <c r="A12" s="23" t="inlineStr">
        <is>
          <t>TC-008</t>
        </is>
      </c>
      <c r="B12" s="24" t="inlineStr"/>
      <c r="C12" s="24" t="inlineStr"/>
      <c r="D12" s="24" t="inlineStr"/>
      <c r="E12" s="24" t="inlineStr"/>
      <c r="F12" s="24" t="inlineStr"/>
      <c r="G12" s="24" t="inlineStr"/>
      <c r="H12" s="24" t="inlineStr"/>
      <c r="I12" s="24" t="inlineStr"/>
      <c r="J12" s="24" t="inlineStr"/>
    </row>
    <row r="13" ht="40" customHeight="1">
      <c r="A13" s="25" t="inlineStr">
        <is>
          <t>TC-009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</row>
    <row r="14" ht="40" customHeight="1">
      <c r="A14" s="23" t="inlineStr">
        <is>
          <t>TC-010</t>
        </is>
      </c>
      <c r="B14" s="24" t="inlineStr"/>
      <c r="C14" s="24" t="inlineStr"/>
      <c r="D14" s="24" t="inlineStr"/>
      <c r="E14" s="24" t="inlineStr"/>
      <c r="F14" s="24" t="inlineStr"/>
      <c r="G14" s="24" t="inlineStr"/>
      <c r="H14" s="24" t="inlineStr"/>
      <c r="I14" s="24" t="inlineStr"/>
      <c r="J14" s="24" t="inlineStr"/>
    </row>
    <row r="15" ht="40" customHeight="1">
      <c r="A15" s="25" t="inlineStr">
        <is>
          <t>TC-011</t>
        </is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</row>
    <row r="16" ht="40" customHeight="1">
      <c r="A16" s="23" t="inlineStr">
        <is>
          <t>TC-012</t>
        </is>
      </c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  <c r="I16" s="24" t="inlineStr"/>
      <c r="J16" s="24" t="inlineStr"/>
    </row>
    <row r="17" ht="40" customHeight="1">
      <c r="A17" s="25" t="inlineStr">
        <is>
          <t>TC-013</t>
        </is>
      </c>
      <c r="B17" s="26" t="inlineStr"/>
      <c r="C17" s="26" t="inlineStr"/>
      <c r="D17" s="26" t="inlineStr"/>
      <c r="E17" s="26" t="inlineStr"/>
      <c r="F17" s="26" t="inlineStr"/>
      <c r="G17" s="26" t="inlineStr"/>
      <c r="H17" s="26" t="inlineStr"/>
      <c r="I17" s="26" t="inlineStr"/>
      <c r="J17" s="26" t="inlineStr"/>
    </row>
    <row r="18" ht="40" customHeight="1">
      <c r="A18" s="23" t="inlineStr">
        <is>
          <t>TC-014</t>
        </is>
      </c>
      <c r="B18" s="24" t="inlineStr"/>
      <c r="C18" s="24" t="inlineStr"/>
      <c r="D18" s="24" t="inlineStr"/>
      <c r="E18" s="24" t="inlineStr"/>
      <c r="F18" s="24" t="inlineStr"/>
      <c r="G18" s="24" t="inlineStr"/>
      <c r="H18" s="24" t="inlineStr"/>
      <c r="I18" s="24" t="inlineStr"/>
      <c r="J18" s="24" t="inlineStr"/>
    </row>
    <row r="19" ht="40" customHeight="1">
      <c r="A19" s="25" t="inlineStr">
        <is>
          <t>TC-015</t>
        </is>
      </c>
      <c r="B19" s="26" t="inlineStr"/>
      <c r="C19" s="26" t="inlineStr"/>
      <c r="D19" s="26" t="inlineStr"/>
      <c r="E19" s="26" t="inlineStr"/>
      <c r="F19" s="26" t="inlineStr"/>
      <c r="G19" s="26" t="inlineStr"/>
      <c r="H19" s="26" t="inlineStr"/>
      <c r="I19" s="26" t="inlineStr"/>
      <c r="J19" s="26" t="inlineStr"/>
    </row>
    <row r="20" ht="40" customHeight="1">
      <c r="A20" s="23" t="inlineStr">
        <is>
          <t>TC-016</t>
        </is>
      </c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  <c r="I20" s="24" t="inlineStr"/>
      <c r="J20" s="24" t="inlineStr"/>
    </row>
    <row r="21" ht="40" customHeight="1">
      <c r="A21" s="25" t="inlineStr">
        <is>
          <t>TC-017</t>
        </is>
      </c>
      <c r="B21" s="26" t="inlineStr"/>
      <c r="C21" s="26" t="inlineStr"/>
      <c r="D21" s="26" t="inlineStr"/>
      <c r="E21" s="26" t="inlineStr"/>
      <c r="F21" s="26" t="inlineStr"/>
      <c r="G21" s="26" t="inlineStr"/>
      <c r="H21" s="26" t="inlineStr"/>
      <c r="I21" s="26" t="inlineStr"/>
      <c r="J21" s="26" t="inlineStr"/>
    </row>
    <row r="22" ht="40" customHeight="1">
      <c r="A22" s="23" t="inlineStr">
        <is>
          <t>TC-018</t>
        </is>
      </c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  <c r="I22" s="24" t="inlineStr"/>
      <c r="J22" s="24" t="inlineStr"/>
    </row>
    <row r="23" ht="40" customHeight="1">
      <c r="A23" s="25" t="inlineStr">
        <is>
          <t>TC-019</t>
        </is>
      </c>
      <c r="B23" s="26" t="inlineStr"/>
      <c r="C23" s="26" t="inlineStr"/>
      <c r="D23" s="26" t="inlineStr"/>
      <c r="E23" s="26" t="inlineStr"/>
      <c r="F23" s="26" t="inlineStr"/>
      <c r="G23" s="26" t="inlineStr"/>
      <c r="H23" s="26" t="inlineStr"/>
      <c r="I23" s="26" t="inlineStr"/>
      <c r="J23" s="26" t="inlineStr"/>
    </row>
    <row r="24" ht="40" customHeight="1">
      <c r="A24" s="23" t="inlineStr">
        <is>
          <t>TC-020</t>
        </is>
      </c>
      <c r="B24" s="24" t="inlineStr"/>
      <c r="C24" s="24" t="inlineStr"/>
      <c r="D24" s="24" t="inlineStr"/>
      <c r="E24" s="24" t="inlineStr"/>
      <c r="F24" s="24" t="inlineStr"/>
      <c r="G24" s="24" t="inlineStr"/>
      <c r="H24" s="24" t="inlineStr"/>
      <c r="I24" s="24" t="inlineStr"/>
      <c r="J24" s="24" t="inlineStr"/>
    </row>
    <row r="25" ht="40" customHeight="1">
      <c r="A25" s="25" t="inlineStr">
        <is>
          <t>TC-021</t>
        </is>
      </c>
      <c r="B25" s="26" t="inlineStr"/>
      <c r="C25" s="26" t="inlineStr"/>
      <c r="D25" s="26" t="inlineStr"/>
      <c r="E25" s="26" t="inlineStr"/>
      <c r="F25" s="26" t="inlineStr"/>
      <c r="G25" s="26" t="inlineStr"/>
      <c r="H25" s="26" t="inlineStr"/>
      <c r="I25" s="26" t="inlineStr"/>
      <c r="J25" s="26" t="inlineStr"/>
    </row>
    <row r="26" ht="40" customHeight="1">
      <c r="A26" s="23" t="inlineStr">
        <is>
          <t>TC-022</t>
        </is>
      </c>
      <c r="B26" s="24" t="inlineStr"/>
      <c r="C26" s="24" t="inlineStr"/>
      <c r="D26" s="24" t="inlineStr"/>
      <c r="E26" s="24" t="inlineStr"/>
      <c r="F26" s="24" t="inlineStr"/>
      <c r="G26" s="24" t="inlineStr"/>
      <c r="H26" s="24" t="inlineStr"/>
      <c r="I26" s="24" t="inlineStr"/>
      <c r="J26" s="24" t="inlineStr"/>
    </row>
    <row r="27" ht="40" customHeight="1">
      <c r="A27" s="25" t="inlineStr">
        <is>
          <t>TC-023</t>
        </is>
      </c>
      <c r="B27" s="26" t="inlineStr"/>
      <c r="C27" s="26" t="inlineStr"/>
      <c r="D27" s="26" t="inlineStr"/>
      <c r="E27" s="26" t="inlineStr"/>
      <c r="F27" s="26" t="inlineStr"/>
      <c r="G27" s="26" t="inlineStr"/>
      <c r="H27" s="26" t="inlineStr"/>
      <c r="I27" s="26" t="inlineStr"/>
      <c r="J27" s="26" t="inlineStr"/>
    </row>
    <row r="28" ht="40" customHeight="1">
      <c r="A28" s="23" t="inlineStr">
        <is>
          <t>TC-024</t>
        </is>
      </c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  <c r="I28" s="24" t="inlineStr"/>
      <c r="J28" s="24" t="inlineStr"/>
    </row>
    <row r="29" ht="40" customHeight="1">
      <c r="A29" s="25" t="inlineStr">
        <is>
          <t>TC-025</t>
        </is>
      </c>
      <c r="B29" s="26" t="inlineStr"/>
      <c r="C29" s="26" t="inlineStr"/>
      <c r="D29" s="26" t="inlineStr"/>
      <c r="E29" s="26" t="inlineStr"/>
      <c r="F29" s="26" t="inlineStr"/>
      <c r="G29" s="26" t="inlineStr"/>
      <c r="H29" s="26" t="inlineStr"/>
      <c r="I29" s="26" t="inlineStr"/>
      <c r="J29" s="26" t="inlineStr"/>
    </row>
    <row r="30" ht="40" customHeight="1">
      <c r="A30" s="23" t="inlineStr">
        <is>
          <t>TC-026</t>
        </is>
      </c>
      <c r="B30" s="24" t="inlineStr"/>
      <c r="C30" s="24" t="inlineStr"/>
      <c r="D30" s="24" t="inlineStr"/>
      <c r="E30" s="24" t="inlineStr"/>
      <c r="F30" s="24" t="inlineStr"/>
      <c r="G30" s="24" t="inlineStr"/>
      <c r="H30" s="24" t="inlineStr"/>
      <c r="I30" s="24" t="inlineStr"/>
      <c r="J30" s="24" t="inlineStr"/>
    </row>
    <row r="31" ht="40" customHeight="1">
      <c r="A31" s="25" t="inlineStr">
        <is>
          <t>TC-027</t>
        </is>
      </c>
      <c r="B31" s="26" t="inlineStr"/>
      <c r="C31" s="26" t="inlineStr"/>
      <c r="D31" s="26" t="inlineStr"/>
      <c r="E31" s="26" t="inlineStr"/>
      <c r="F31" s="26" t="inlineStr"/>
      <c r="G31" s="26" t="inlineStr"/>
      <c r="H31" s="26" t="inlineStr"/>
      <c r="I31" s="26" t="inlineStr"/>
      <c r="J31" s="26" t="inlineStr"/>
    </row>
    <row r="32" ht="40" customHeight="1">
      <c r="A32" s="23" t="inlineStr">
        <is>
          <t>TC-028</t>
        </is>
      </c>
      <c r="B32" s="24" t="inlineStr"/>
      <c r="C32" s="24" t="inlineStr"/>
      <c r="D32" s="24" t="inlineStr"/>
      <c r="E32" s="24" t="inlineStr"/>
      <c r="F32" s="24" t="inlineStr"/>
      <c r="G32" s="24" t="inlineStr"/>
      <c r="H32" s="24" t="inlineStr"/>
      <c r="I32" s="24" t="inlineStr"/>
      <c r="J32" s="24" t="inlineStr"/>
    </row>
    <row r="33" ht="40" customHeight="1">
      <c r="A33" s="25" t="inlineStr">
        <is>
          <t>TC-029</t>
        </is>
      </c>
      <c r="B33" s="26" t="inlineStr"/>
      <c r="C33" s="26" t="inlineStr"/>
      <c r="D33" s="26" t="inlineStr"/>
      <c r="E33" s="26" t="inlineStr"/>
      <c r="F33" s="26" t="inlineStr"/>
      <c r="G33" s="26" t="inlineStr"/>
      <c r="H33" s="26" t="inlineStr"/>
      <c r="I33" s="26" t="inlineStr"/>
      <c r="J33" s="26" t="inlineStr"/>
    </row>
    <row r="34" ht="40" customHeight="1">
      <c r="A34" s="23" t="inlineStr">
        <is>
          <t>TC-030</t>
        </is>
      </c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  <c r="I34" s="24" t="inlineStr"/>
      <c r="J34" s="24" t="inlineStr"/>
    </row>
    <row r="35" ht="40" customHeight="1">
      <c r="A35" s="25" t="inlineStr">
        <is>
          <t>TC-031</t>
        </is>
      </c>
      <c r="B35" s="26" t="inlineStr"/>
      <c r="C35" s="26" t="inlineStr"/>
      <c r="D35" s="26" t="inlineStr"/>
      <c r="E35" s="26" t="inlineStr"/>
      <c r="F35" s="26" t="inlineStr"/>
      <c r="G35" s="26" t="inlineStr"/>
      <c r="H35" s="26" t="inlineStr"/>
      <c r="I35" s="26" t="inlineStr"/>
      <c r="J35" s="26" t="inlineStr"/>
    </row>
    <row r="36" ht="40" customHeight="1">
      <c r="A36" s="23" t="inlineStr">
        <is>
          <t>TC-032</t>
        </is>
      </c>
      <c r="B36" s="24" t="inlineStr"/>
      <c r="C36" s="24" t="inlineStr"/>
      <c r="D36" s="24" t="inlineStr"/>
      <c r="E36" s="24" t="inlineStr"/>
      <c r="F36" s="24" t="inlineStr"/>
      <c r="G36" s="24" t="inlineStr"/>
      <c r="H36" s="24" t="inlineStr"/>
      <c r="I36" s="24" t="inlineStr"/>
      <c r="J36" s="24" t="inlineStr"/>
    </row>
    <row r="37" ht="40" customHeight="1">
      <c r="A37" s="25" t="inlineStr">
        <is>
          <t>TC-033</t>
        </is>
      </c>
      <c r="B37" s="26" t="inlineStr"/>
      <c r="C37" s="26" t="inlineStr"/>
      <c r="D37" s="26" t="inlineStr"/>
      <c r="E37" s="26" t="inlineStr"/>
      <c r="F37" s="26" t="inlineStr"/>
      <c r="G37" s="26" t="inlineStr"/>
      <c r="H37" s="26" t="inlineStr"/>
      <c r="I37" s="26" t="inlineStr"/>
      <c r="J37" s="26" t="inlineStr"/>
    </row>
    <row r="38" ht="40" customHeight="1">
      <c r="A38" s="23" t="inlineStr">
        <is>
          <t>TC-034</t>
        </is>
      </c>
      <c r="B38" s="24" t="inlineStr"/>
      <c r="C38" s="24" t="inlineStr"/>
      <c r="D38" s="24" t="inlineStr"/>
      <c r="E38" s="24" t="inlineStr"/>
      <c r="F38" s="24" t="inlineStr"/>
      <c r="G38" s="24" t="inlineStr"/>
      <c r="H38" s="24" t="inlineStr"/>
      <c r="I38" s="24" t="inlineStr"/>
      <c r="J38" s="24" t="inlineStr"/>
    </row>
    <row r="39" ht="40" customHeight="1">
      <c r="A39" s="25" t="inlineStr">
        <is>
          <t>TC-035</t>
        </is>
      </c>
      <c r="B39" s="26" t="inlineStr"/>
      <c r="C39" s="26" t="inlineStr"/>
      <c r="D39" s="26" t="inlineStr"/>
      <c r="E39" s="26" t="inlineStr"/>
      <c r="F39" s="26" t="inlineStr"/>
      <c r="G39" s="26" t="inlineStr"/>
      <c r="H39" s="26" t="inlineStr"/>
      <c r="I39" s="26" t="inlineStr"/>
      <c r="J39" s="26" t="inlineStr"/>
    </row>
    <row r="40" ht="40" customHeight="1">
      <c r="A40" s="23" t="inlineStr">
        <is>
          <t>TC-036</t>
        </is>
      </c>
      <c r="B40" s="24" t="inlineStr"/>
      <c r="C40" s="24" t="inlineStr"/>
      <c r="D40" s="24" t="inlineStr"/>
      <c r="E40" s="24" t="inlineStr"/>
      <c r="F40" s="24" t="inlineStr"/>
      <c r="G40" s="24" t="inlineStr"/>
      <c r="H40" s="24" t="inlineStr"/>
      <c r="I40" s="24" t="inlineStr"/>
      <c r="J40" s="24" t="inlineStr"/>
    </row>
    <row r="41" ht="40" customHeight="1">
      <c r="A41" s="25" t="inlineStr">
        <is>
          <t>TC-037</t>
        </is>
      </c>
      <c r="B41" s="26" t="inlineStr"/>
      <c r="C41" s="26" t="inlineStr"/>
      <c r="D41" s="26" t="inlineStr"/>
      <c r="E41" s="26" t="inlineStr"/>
      <c r="F41" s="26" t="inlineStr"/>
      <c r="G41" s="26" t="inlineStr"/>
      <c r="H41" s="26" t="inlineStr"/>
      <c r="I41" s="26" t="inlineStr"/>
      <c r="J41" s="26" t="inlineStr"/>
    </row>
    <row r="42" ht="40" customHeight="1">
      <c r="A42" s="23" t="inlineStr">
        <is>
          <t>TC-038</t>
        </is>
      </c>
      <c r="B42" s="24" t="inlineStr"/>
      <c r="C42" s="24" t="inlineStr"/>
      <c r="D42" s="24" t="inlineStr"/>
      <c r="E42" s="24" t="inlineStr"/>
      <c r="F42" s="24" t="inlineStr"/>
      <c r="G42" s="24" t="inlineStr"/>
      <c r="H42" s="24" t="inlineStr"/>
      <c r="I42" s="24" t="inlineStr"/>
      <c r="J42" s="24" t="inlineStr"/>
    </row>
    <row r="43" ht="40" customHeight="1">
      <c r="A43" s="25" t="inlineStr">
        <is>
          <t>TC-039</t>
        </is>
      </c>
      <c r="B43" s="26" t="inlineStr"/>
      <c r="C43" s="26" t="inlineStr"/>
      <c r="D43" s="26" t="inlineStr"/>
      <c r="E43" s="26" t="inlineStr"/>
      <c r="F43" s="26" t="inlineStr"/>
      <c r="G43" s="26" t="inlineStr"/>
      <c r="H43" s="26" t="inlineStr"/>
      <c r="I43" s="26" t="inlineStr"/>
      <c r="J43" s="26" t="inlineStr"/>
    </row>
    <row r="44" ht="40" customHeight="1">
      <c r="A44" s="23" t="inlineStr">
        <is>
          <t>TC-040</t>
        </is>
      </c>
      <c r="B44" s="24" t="inlineStr"/>
      <c r="C44" s="24" t="inlineStr"/>
      <c r="D44" s="24" t="inlineStr"/>
      <c r="E44" s="24" t="inlineStr"/>
      <c r="F44" s="24" t="inlineStr"/>
      <c r="G44" s="24" t="inlineStr"/>
      <c r="H44" s="24" t="inlineStr"/>
      <c r="I44" s="24" t="inlineStr"/>
      <c r="J44" s="24" t="inlineStr"/>
    </row>
    <row r="45" ht="40" customHeight="1">
      <c r="A45" s="25" t="inlineStr">
        <is>
          <t>TC-041</t>
        </is>
      </c>
      <c r="B45" s="26" t="inlineStr"/>
      <c r="C45" s="26" t="inlineStr"/>
      <c r="D45" s="26" t="inlineStr"/>
      <c r="E45" s="26" t="inlineStr"/>
      <c r="F45" s="26" t="inlineStr"/>
      <c r="G45" s="26" t="inlineStr"/>
      <c r="H45" s="26" t="inlineStr"/>
      <c r="I45" s="26" t="inlineStr"/>
      <c r="J45" s="26" t="inlineStr"/>
    </row>
    <row r="46" ht="40" customHeight="1">
      <c r="A46" s="23" t="inlineStr">
        <is>
          <t>TC-042</t>
        </is>
      </c>
      <c r="B46" s="24" t="inlineStr"/>
      <c r="C46" s="24" t="inlineStr"/>
      <c r="D46" s="24" t="inlineStr"/>
      <c r="E46" s="24" t="inlineStr"/>
      <c r="F46" s="24" t="inlineStr"/>
      <c r="G46" s="24" t="inlineStr"/>
      <c r="H46" s="24" t="inlineStr"/>
      <c r="I46" s="24" t="inlineStr"/>
      <c r="J46" s="24" t="inlineStr"/>
    </row>
    <row r="47" ht="40" customHeight="1">
      <c r="A47" s="25" t="inlineStr">
        <is>
          <t>TC-043</t>
        </is>
      </c>
      <c r="B47" s="26" t="inlineStr"/>
      <c r="C47" s="26" t="inlineStr"/>
      <c r="D47" s="26" t="inlineStr"/>
      <c r="E47" s="26" t="inlineStr"/>
      <c r="F47" s="26" t="inlineStr"/>
      <c r="G47" s="26" t="inlineStr"/>
      <c r="H47" s="26" t="inlineStr"/>
      <c r="I47" s="26" t="inlineStr"/>
      <c r="J47" s="26" t="inlineStr"/>
    </row>
    <row r="48" ht="40" customHeight="1">
      <c r="A48" s="23" t="inlineStr">
        <is>
          <t>TC-044</t>
        </is>
      </c>
      <c r="B48" s="24" t="inlineStr"/>
      <c r="C48" s="24" t="inlineStr"/>
      <c r="D48" s="24" t="inlineStr"/>
      <c r="E48" s="24" t="inlineStr"/>
      <c r="F48" s="24" t="inlineStr"/>
      <c r="G48" s="24" t="inlineStr"/>
      <c r="H48" s="24" t="inlineStr"/>
      <c r="I48" s="24" t="inlineStr"/>
      <c r="J48" s="24" t="inlineStr"/>
    </row>
    <row r="49" ht="40" customHeight="1">
      <c r="A49" s="25" t="inlineStr">
        <is>
          <t>TC-045</t>
        </is>
      </c>
      <c r="B49" s="26" t="inlineStr"/>
      <c r="C49" s="26" t="inlineStr"/>
      <c r="D49" s="26" t="inlineStr"/>
      <c r="E49" s="26" t="inlineStr"/>
      <c r="F49" s="26" t="inlineStr"/>
      <c r="G49" s="26" t="inlineStr"/>
      <c r="H49" s="26" t="inlineStr"/>
      <c r="I49" s="26" t="inlineStr"/>
      <c r="J49" s="26" t="inlineStr"/>
    </row>
    <row r="50" ht="40" customHeight="1">
      <c r="A50" s="23" t="inlineStr">
        <is>
          <t>TC-046</t>
        </is>
      </c>
      <c r="B50" s="24" t="inlineStr"/>
      <c r="C50" s="24" t="inlineStr"/>
      <c r="D50" s="24" t="inlineStr"/>
      <c r="E50" s="24" t="inlineStr"/>
      <c r="F50" s="24" t="inlineStr"/>
      <c r="G50" s="24" t="inlineStr"/>
      <c r="H50" s="24" t="inlineStr"/>
      <c r="I50" s="24" t="inlineStr"/>
      <c r="J50" s="24" t="inlineStr"/>
    </row>
    <row r="51" ht="40" customHeight="1">
      <c r="A51" s="25" t="inlineStr">
        <is>
          <t>TC-047</t>
        </is>
      </c>
      <c r="B51" s="26" t="inlineStr"/>
      <c r="C51" s="26" t="inlineStr"/>
      <c r="D51" s="26" t="inlineStr"/>
      <c r="E51" s="26" t="inlineStr"/>
      <c r="F51" s="26" t="inlineStr"/>
      <c r="G51" s="26" t="inlineStr"/>
      <c r="H51" s="26" t="inlineStr"/>
      <c r="I51" s="26" t="inlineStr"/>
      <c r="J51" s="26" t="inlineStr"/>
    </row>
    <row r="52" ht="40" customHeight="1">
      <c r="A52" s="23" t="inlineStr">
        <is>
          <t>TC-048</t>
        </is>
      </c>
      <c r="B52" s="24" t="inlineStr"/>
      <c r="C52" s="24" t="inlineStr"/>
      <c r="D52" s="24" t="inlineStr"/>
      <c r="E52" s="24" t="inlineStr"/>
      <c r="F52" s="24" t="inlineStr"/>
      <c r="G52" s="24" t="inlineStr"/>
      <c r="H52" s="24" t="inlineStr"/>
      <c r="I52" s="24" t="inlineStr"/>
      <c r="J52" s="24" t="inlineStr"/>
    </row>
    <row r="53" ht="40" customHeight="1">
      <c r="A53" s="25" t="inlineStr">
        <is>
          <t>TC-049</t>
        </is>
      </c>
      <c r="B53" s="26" t="inlineStr"/>
      <c r="C53" s="26" t="inlineStr"/>
      <c r="D53" s="26" t="inlineStr"/>
      <c r="E53" s="26" t="inlineStr"/>
      <c r="F53" s="26" t="inlineStr"/>
      <c r="G53" s="26" t="inlineStr"/>
      <c r="H53" s="26" t="inlineStr"/>
      <c r="I53" s="26" t="inlineStr"/>
      <c r="J53" s="26" t="inlineStr"/>
    </row>
    <row r="54" ht="40" customHeight="1">
      <c r="A54" s="23" t="inlineStr">
        <is>
          <t>TC-050</t>
        </is>
      </c>
      <c r="B54" s="24" t="inlineStr"/>
      <c r="C54" s="24" t="inlineStr"/>
      <c r="D54" s="24" t="inlineStr"/>
      <c r="E54" s="24" t="inlineStr"/>
      <c r="F54" s="24" t="inlineStr"/>
      <c r="G54" s="24" t="inlineStr"/>
      <c r="H54" s="24" t="inlineStr"/>
      <c r="I54" s="24" t="inlineStr"/>
      <c r="J54" s="24" t="inlineStr"/>
    </row>
    <row r="55" ht="40" customHeight="1">
      <c r="A55" s="25" t="inlineStr">
        <is>
          <t>TC-051</t>
        </is>
      </c>
      <c r="B55" s="26" t="inlineStr"/>
      <c r="C55" s="26" t="inlineStr"/>
      <c r="D55" s="26" t="inlineStr"/>
      <c r="E55" s="26" t="inlineStr"/>
      <c r="F55" s="26" t="inlineStr"/>
      <c r="G55" s="26" t="inlineStr"/>
      <c r="H55" s="26" t="inlineStr"/>
      <c r="I55" s="26" t="inlineStr"/>
      <c r="J55" s="26" t="inlineStr"/>
    </row>
    <row r="56" ht="40" customHeight="1">
      <c r="A56" s="23" t="inlineStr">
        <is>
          <t>TC-052</t>
        </is>
      </c>
      <c r="B56" s="24" t="inlineStr"/>
      <c r="C56" s="24" t="inlineStr"/>
      <c r="D56" s="24" t="inlineStr"/>
      <c r="E56" s="24" t="inlineStr"/>
      <c r="F56" s="24" t="inlineStr"/>
      <c r="G56" s="24" t="inlineStr"/>
      <c r="H56" s="24" t="inlineStr"/>
      <c r="I56" s="24" t="inlineStr"/>
      <c r="J56" s="24" t="inlineStr"/>
    </row>
    <row r="57" ht="40" customHeight="1">
      <c r="A57" s="25" t="inlineStr">
        <is>
          <t>TC-053</t>
        </is>
      </c>
      <c r="B57" s="26" t="inlineStr"/>
      <c r="C57" s="26" t="inlineStr"/>
      <c r="D57" s="26" t="inlineStr"/>
      <c r="E57" s="26" t="inlineStr"/>
      <c r="F57" s="26" t="inlineStr"/>
      <c r="G57" s="26" t="inlineStr"/>
      <c r="H57" s="26" t="inlineStr"/>
      <c r="I57" s="26" t="inlineStr"/>
      <c r="J57" s="26" t="inlineStr"/>
    </row>
    <row r="58" ht="40" customHeight="1">
      <c r="A58" s="23" t="inlineStr">
        <is>
          <t>TC-054</t>
        </is>
      </c>
      <c r="B58" s="24" t="inlineStr"/>
      <c r="C58" s="24" t="inlineStr"/>
      <c r="D58" s="24" t="inlineStr"/>
      <c r="E58" s="24" t="inlineStr"/>
      <c r="F58" s="24" t="inlineStr"/>
      <c r="G58" s="24" t="inlineStr"/>
      <c r="H58" s="24" t="inlineStr"/>
      <c r="I58" s="24" t="inlineStr"/>
      <c r="J58" s="24" t="inlineStr"/>
    </row>
    <row r="59" ht="40" customHeight="1">
      <c r="A59" s="25" t="inlineStr">
        <is>
          <t>TC-055</t>
        </is>
      </c>
      <c r="B59" s="26" t="inlineStr"/>
      <c r="C59" s="26" t="inlineStr"/>
      <c r="D59" s="26" t="inlineStr"/>
      <c r="E59" s="26" t="inlineStr"/>
      <c r="F59" s="26" t="inlineStr"/>
      <c r="G59" s="26" t="inlineStr"/>
      <c r="H59" s="26" t="inlineStr"/>
      <c r="I59" s="26" t="inlineStr"/>
      <c r="J59" s="26" t="inlineStr"/>
    </row>
    <row r="60" ht="40" customHeight="1">
      <c r="A60" s="23" t="inlineStr">
        <is>
          <t>TC-056</t>
        </is>
      </c>
      <c r="B60" s="24" t="inlineStr"/>
      <c r="C60" s="24" t="inlineStr"/>
      <c r="D60" s="24" t="inlineStr"/>
      <c r="E60" s="24" t="inlineStr"/>
      <c r="F60" s="24" t="inlineStr"/>
      <c r="G60" s="24" t="inlineStr"/>
      <c r="H60" s="24" t="inlineStr"/>
      <c r="I60" s="24" t="inlineStr"/>
      <c r="J60" s="24" t="inlineStr"/>
    </row>
    <row r="61" ht="40" customHeight="1">
      <c r="A61" s="25" t="inlineStr">
        <is>
          <t>TC-057</t>
        </is>
      </c>
      <c r="B61" s="26" t="inlineStr"/>
      <c r="C61" s="26" t="inlineStr"/>
      <c r="D61" s="26" t="inlineStr"/>
      <c r="E61" s="26" t="inlineStr"/>
      <c r="F61" s="26" t="inlineStr"/>
      <c r="G61" s="26" t="inlineStr"/>
      <c r="H61" s="26" t="inlineStr"/>
      <c r="I61" s="26" t="inlineStr"/>
      <c r="J61" s="26" t="inlineStr"/>
    </row>
    <row r="62" ht="40" customHeight="1">
      <c r="A62" s="23" t="inlineStr">
        <is>
          <t>TC-058</t>
        </is>
      </c>
      <c r="B62" s="24" t="inlineStr"/>
      <c r="C62" s="24" t="inlineStr"/>
      <c r="D62" s="24" t="inlineStr"/>
      <c r="E62" s="24" t="inlineStr"/>
      <c r="F62" s="24" t="inlineStr"/>
      <c r="G62" s="24" t="inlineStr"/>
      <c r="H62" s="24" t="inlineStr"/>
      <c r="I62" s="24" t="inlineStr"/>
      <c r="J62" s="24" t="inlineStr"/>
    </row>
    <row r="63" ht="40" customHeight="1">
      <c r="A63" s="25" t="inlineStr">
        <is>
          <t>TC-059</t>
        </is>
      </c>
      <c r="B63" s="26" t="inlineStr"/>
      <c r="C63" s="26" t="inlineStr"/>
      <c r="D63" s="26" t="inlineStr"/>
      <c r="E63" s="26" t="inlineStr"/>
      <c r="F63" s="26" t="inlineStr"/>
      <c r="G63" s="26" t="inlineStr"/>
      <c r="H63" s="26" t="inlineStr"/>
      <c r="I63" s="26" t="inlineStr"/>
      <c r="J63" s="26" t="inlineStr"/>
    </row>
    <row r="64" ht="40" customHeight="1">
      <c r="A64" s="23" t="inlineStr">
        <is>
          <t>TC-060</t>
        </is>
      </c>
      <c r="B64" s="24" t="inlineStr"/>
      <c r="C64" s="24" t="inlineStr"/>
      <c r="D64" s="24" t="inlineStr"/>
      <c r="E64" s="24" t="inlineStr"/>
      <c r="F64" s="24" t="inlineStr"/>
      <c r="G64" s="24" t="inlineStr"/>
      <c r="H64" s="24" t="inlineStr"/>
      <c r="I64" s="24" t="inlineStr"/>
      <c r="J64" s="24" t="inlineStr"/>
    </row>
    <row r="65" ht="40" customHeight="1">
      <c r="A65" s="25" t="inlineStr">
        <is>
          <t>TC-061</t>
        </is>
      </c>
      <c r="B65" s="26" t="inlineStr"/>
      <c r="C65" s="26" t="inlineStr"/>
      <c r="D65" s="26" t="inlineStr"/>
      <c r="E65" s="26" t="inlineStr"/>
      <c r="F65" s="26" t="inlineStr"/>
      <c r="G65" s="26" t="inlineStr"/>
      <c r="H65" s="26" t="inlineStr"/>
      <c r="I65" s="26" t="inlineStr"/>
      <c r="J65" s="26" t="inlineStr"/>
    </row>
    <row r="66" ht="40" customHeight="1">
      <c r="A66" s="23" t="inlineStr">
        <is>
          <t>TC-062</t>
        </is>
      </c>
      <c r="B66" s="24" t="inlineStr"/>
      <c r="C66" s="24" t="inlineStr"/>
      <c r="D66" s="24" t="inlineStr"/>
      <c r="E66" s="24" t="inlineStr"/>
      <c r="F66" s="24" t="inlineStr"/>
      <c r="G66" s="24" t="inlineStr"/>
      <c r="H66" s="24" t="inlineStr"/>
      <c r="I66" s="24" t="inlineStr"/>
      <c r="J66" s="24" t="inlineStr"/>
    </row>
    <row r="67" ht="40" customHeight="1">
      <c r="A67" s="25" t="inlineStr">
        <is>
          <t>TC-063</t>
        </is>
      </c>
      <c r="B67" s="26" t="inlineStr"/>
      <c r="C67" s="26" t="inlineStr"/>
      <c r="D67" s="26" t="inlineStr"/>
      <c r="E67" s="26" t="inlineStr"/>
      <c r="F67" s="26" t="inlineStr"/>
      <c r="G67" s="26" t="inlineStr"/>
      <c r="H67" s="26" t="inlineStr"/>
      <c r="I67" s="26" t="inlineStr"/>
      <c r="J67" s="26" t="inlineStr"/>
    </row>
    <row r="68" ht="40" customHeight="1">
      <c r="A68" s="23" t="inlineStr">
        <is>
          <t>TC-064</t>
        </is>
      </c>
      <c r="B68" s="24" t="inlineStr"/>
      <c r="C68" s="24" t="inlineStr"/>
      <c r="D68" s="24" t="inlineStr"/>
      <c r="E68" s="24" t="inlineStr"/>
      <c r="F68" s="24" t="inlineStr"/>
      <c r="G68" s="24" t="inlineStr"/>
      <c r="H68" s="24" t="inlineStr"/>
      <c r="I68" s="24" t="inlineStr"/>
      <c r="J68" s="24" t="inlineStr"/>
    </row>
    <row r="69" ht="40" customHeight="1">
      <c r="A69" s="25" t="inlineStr">
        <is>
          <t>TC-065</t>
        </is>
      </c>
      <c r="B69" s="26" t="inlineStr"/>
      <c r="C69" s="26" t="inlineStr"/>
      <c r="D69" s="26" t="inlineStr"/>
      <c r="E69" s="26" t="inlineStr"/>
      <c r="F69" s="26" t="inlineStr"/>
      <c r="G69" s="26" t="inlineStr"/>
      <c r="H69" s="26" t="inlineStr"/>
      <c r="I69" s="26" t="inlineStr"/>
      <c r="J69" s="26" t="inlineStr"/>
    </row>
    <row r="70" ht="40" customHeight="1">
      <c r="A70" s="23" t="inlineStr">
        <is>
          <t>TC-066</t>
        </is>
      </c>
      <c r="B70" s="24" t="inlineStr"/>
      <c r="C70" s="24" t="inlineStr"/>
      <c r="D70" s="24" t="inlineStr"/>
      <c r="E70" s="24" t="inlineStr"/>
      <c r="F70" s="24" t="inlineStr"/>
      <c r="G70" s="24" t="inlineStr"/>
      <c r="H70" s="24" t="inlineStr"/>
      <c r="I70" s="24" t="inlineStr"/>
      <c r="J70" s="24" t="inlineStr"/>
    </row>
    <row r="71" ht="40" customHeight="1">
      <c r="A71" s="25" t="inlineStr">
        <is>
          <t>TC-067</t>
        </is>
      </c>
      <c r="B71" s="26" t="inlineStr"/>
      <c r="C71" s="26" t="inlineStr"/>
      <c r="D71" s="26" t="inlineStr"/>
      <c r="E71" s="26" t="inlineStr"/>
      <c r="F71" s="26" t="inlineStr"/>
      <c r="G71" s="26" t="inlineStr"/>
      <c r="H71" s="26" t="inlineStr"/>
      <c r="I71" s="26" t="inlineStr"/>
      <c r="J71" s="26" t="inlineStr"/>
    </row>
    <row r="72" ht="40" customHeight="1">
      <c r="A72" s="23" t="inlineStr">
        <is>
          <t>TC-068</t>
        </is>
      </c>
      <c r="B72" s="24" t="inlineStr"/>
      <c r="C72" s="24" t="inlineStr"/>
      <c r="D72" s="24" t="inlineStr"/>
      <c r="E72" s="24" t="inlineStr"/>
      <c r="F72" s="24" t="inlineStr"/>
      <c r="G72" s="24" t="inlineStr"/>
      <c r="H72" s="24" t="inlineStr"/>
      <c r="I72" s="24" t="inlineStr"/>
      <c r="J72" s="24" t="inlineStr"/>
    </row>
    <row r="73" ht="40" customHeight="1">
      <c r="A73" s="25" t="inlineStr">
        <is>
          <t>TC-069</t>
        </is>
      </c>
      <c r="B73" s="26" t="inlineStr"/>
      <c r="C73" s="26" t="inlineStr"/>
      <c r="D73" s="26" t="inlineStr"/>
      <c r="E73" s="26" t="inlineStr"/>
      <c r="F73" s="26" t="inlineStr"/>
      <c r="G73" s="26" t="inlineStr"/>
      <c r="H73" s="26" t="inlineStr"/>
      <c r="I73" s="26" t="inlineStr"/>
      <c r="J73" s="26" t="inlineStr"/>
    </row>
    <row r="74" ht="40" customHeight="1">
      <c r="A74" s="23" t="inlineStr">
        <is>
          <t>TC-070</t>
        </is>
      </c>
      <c r="B74" s="24" t="inlineStr"/>
      <c r="C74" s="24" t="inlineStr"/>
      <c r="D74" s="24" t="inlineStr"/>
      <c r="E74" s="24" t="inlineStr"/>
      <c r="F74" s="24" t="inlineStr"/>
      <c r="G74" s="24" t="inlineStr"/>
      <c r="H74" s="24" t="inlineStr"/>
      <c r="I74" s="24" t="inlineStr"/>
      <c r="J74" s="24" t="inlineStr"/>
    </row>
    <row r="75" ht="40" customHeight="1">
      <c r="A75" s="25" t="inlineStr">
        <is>
          <t>TC-071</t>
        </is>
      </c>
      <c r="B75" s="26" t="inlineStr"/>
      <c r="C75" s="26" t="inlineStr"/>
      <c r="D75" s="26" t="inlineStr"/>
      <c r="E75" s="26" t="inlineStr"/>
      <c r="F75" s="26" t="inlineStr"/>
      <c r="G75" s="26" t="inlineStr"/>
      <c r="H75" s="26" t="inlineStr"/>
      <c r="I75" s="26" t="inlineStr"/>
      <c r="J75" s="26" t="inlineStr"/>
    </row>
    <row r="76" ht="40" customHeight="1">
      <c r="A76" s="23" t="inlineStr">
        <is>
          <t>TC-072</t>
        </is>
      </c>
      <c r="B76" s="24" t="inlineStr"/>
      <c r="C76" s="24" t="inlineStr"/>
      <c r="D76" s="24" t="inlineStr"/>
      <c r="E76" s="24" t="inlineStr"/>
      <c r="F76" s="24" t="inlineStr"/>
      <c r="G76" s="24" t="inlineStr"/>
      <c r="H76" s="24" t="inlineStr"/>
      <c r="I76" s="24" t="inlineStr"/>
      <c r="J76" s="24" t="inlineStr"/>
    </row>
    <row r="77" ht="40" customHeight="1">
      <c r="A77" s="25" t="inlineStr">
        <is>
          <t>TC-073</t>
        </is>
      </c>
      <c r="B77" s="26" t="inlineStr"/>
      <c r="C77" s="26" t="inlineStr"/>
      <c r="D77" s="26" t="inlineStr"/>
      <c r="E77" s="26" t="inlineStr"/>
      <c r="F77" s="26" t="inlineStr"/>
      <c r="G77" s="26" t="inlineStr"/>
      <c r="H77" s="26" t="inlineStr"/>
      <c r="I77" s="26" t="inlineStr"/>
      <c r="J77" s="26" t="inlineStr"/>
    </row>
    <row r="78" ht="40" customHeight="1">
      <c r="A78" s="23" t="inlineStr">
        <is>
          <t>TC-074</t>
        </is>
      </c>
      <c r="B78" s="24" t="inlineStr"/>
      <c r="C78" s="24" t="inlineStr"/>
      <c r="D78" s="24" t="inlineStr"/>
      <c r="E78" s="24" t="inlineStr"/>
      <c r="F78" s="24" t="inlineStr"/>
      <c r="G78" s="24" t="inlineStr"/>
      <c r="H78" s="24" t="inlineStr"/>
      <c r="I78" s="24" t="inlineStr"/>
      <c r="J78" s="24" t="inlineStr"/>
    </row>
    <row r="79" ht="40" customHeight="1">
      <c r="A79" s="25" t="inlineStr">
        <is>
          <t>TC-075</t>
        </is>
      </c>
      <c r="B79" s="26" t="inlineStr"/>
      <c r="C79" s="26" t="inlineStr"/>
      <c r="D79" s="26" t="inlineStr"/>
      <c r="E79" s="26" t="inlineStr"/>
      <c r="F79" s="26" t="inlineStr"/>
      <c r="G79" s="26" t="inlineStr"/>
      <c r="H79" s="26" t="inlineStr"/>
      <c r="I79" s="26" t="inlineStr"/>
      <c r="J79" s="26" t="inlineStr"/>
    </row>
    <row r="80" ht="40" customHeight="1">
      <c r="A80" s="23" t="inlineStr">
        <is>
          <t>TC-076</t>
        </is>
      </c>
      <c r="B80" s="24" t="inlineStr"/>
      <c r="C80" s="24" t="inlineStr"/>
      <c r="D80" s="24" t="inlineStr"/>
      <c r="E80" s="24" t="inlineStr"/>
      <c r="F80" s="24" t="inlineStr"/>
      <c r="G80" s="24" t="inlineStr"/>
      <c r="H80" s="24" t="inlineStr"/>
      <c r="I80" s="24" t="inlineStr"/>
      <c r="J80" s="24" t="inlineStr"/>
    </row>
    <row r="81" ht="40" customHeight="1">
      <c r="A81" s="25" t="inlineStr">
        <is>
          <t>TC-077</t>
        </is>
      </c>
      <c r="B81" s="26" t="inlineStr"/>
      <c r="C81" s="26" t="inlineStr"/>
      <c r="D81" s="26" t="inlineStr"/>
      <c r="E81" s="26" t="inlineStr"/>
      <c r="F81" s="26" t="inlineStr"/>
      <c r="G81" s="26" t="inlineStr"/>
      <c r="H81" s="26" t="inlineStr"/>
      <c r="I81" s="26" t="inlineStr"/>
      <c r="J81" s="26" t="inlineStr"/>
    </row>
    <row r="82" ht="40" customHeight="1">
      <c r="A82" s="23" t="inlineStr">
        <is>
          <t>TC-078</t>
        </is>
      </c>
      <c r="B82" s="24" t="inlineStr"/>
      <c r="C82" s="24" t="inlineStr"/>
      <c r="D82" s="24" t="inlineStr"/>
      <c r="E82" s="24" t="inlineStr"/>
      <c r="F82" s="24" t="inlineStr"/>
      <c r="G82" s="24" t="inlineStr"/>
      <c r="H82" s="24" t="inlineStr"/>
      <c r="I82" s="24" t="inlineStr"/>
      <c r="J82" s="24" t="inlineStr"/>
    </row>
    <row r="83" ht="40" customHeight="1">
      <c r="A83" s="25" t="inlineStr">
        <is>
          <t>TC-079</t>
        </is>
      </c>
      <c r="B83" s="26" t="inlineStr"/>
      <c r="C83" s="26" t="inlineStr"/>
      <c r="D83" s="26" t="inlineStr"/>
      <c r="E83" s="26" t="inlineStr"/>
      <c r="F83" s="26" t="inlineStr"/>
      <c r="G83" s="26" t="inlineStr"/>
      <c r="H83" s="26" t="inlineStr"/>
      <c r="I83" s="26" t="inlineStr"/>
      <c r="J83" s="26" t="inlineStr"/>
    </row>
    <row r="84" ht="40" customHeight="1">
      <c r="A84" s="23" t="inlineStr">
        <is>
          <t>TC-080</t>
        </is>
      </c>
      <c r="B84" s="24" t="inlineStr"/>
      <c r="C84" s="24" t="inlineStr"/>
      <c r="D84" s="24" t="inlineStr"/>
      <c r="E84" s="24" t="inlineStr"/>
      <c r="F84" s="24" t="inlineStr"/>
      <c r="G84" s="24" t="inlineStr"/>
      <c r="H84" s="24" t="inlineStr"/>
      <c r="I84" s="24" t="inlineStr"/>
      <c r="J84" s="24" t="inlineStr"/>
    </row>
    <row r="85" ht="40" customHeight="1">
      <c r="A85" s="25" t="inlineStr">
        <is>
          <t>TC-081</t>
        </is>
      </c>
      <c r="B85" s="26" t="inlineStr"/>
      <c r="C85" s="26" t="inlineStr"/>
      <c r="D85" s="26" t="inlineStr"/>
      <c r="E85" s="26" t="inlineStr"/>
      <c r="F85" s="26" t="inlineStr"/>
      <c r="G85" s="26" t="inlineStr"/>
      <c r="H85" s="26" t="inlineStr"/>
      <c r="I85" s="26" t="inlineStr"/>
      <c r="J85" s="26" t="inlineStr"/>
    </row>
    <row r="86" ht="40" customHeight="1">
      <c r="A86" s="23" t="inlineStr">
        <is>
          <t>TC-082</t>
        </is>
      </c>
      <c r="B86" s="24" t="inlineStr"/>
      <c r="C86" s="24" t="inlineStr"/>
      <c r="D86" s="24" t="inlineStr"/>
      <c r="E86" s="24" t="inlineStr"/>
      <c r="F86" s="24" t="inlineStr"/>
      <c r="G86" s="24" t="inlineStr"/>
      <c r="H86" s="24" t="inlineStr"/>
      <c r="I86" s="24" t="inlineStr"/>
      <c r="J86" s="24" t="inlineStr"/>
    </row>
    <row r="87" ht="40" customHeight="1">
      <c r="A87" s="25" t="inlineStr">
        <is>
          <t>TC-083</t>
        </is>
      </c>
      <c r="B87" s="26" t="inlineStr"/>
      <c r="C87" s="26" t="inlineStr"/>
      <c r="D87" s="26" t="inlineStr"/>
      <c r="E87" s="26" t="inlineStr"/>
      <c r="F87" s="26" t="inlineStr"/>
      <c r="G87" s="26" t="inlineStr"/>
      <c r="H87" s="26" t="inlineStr"/>
      <c r="I87" s="26" t="inlineStr"/>
      <c r="J87" s="26" t="inlineStr"/>
    </row>
    <row r="88" ht="40" customHeight="1">
      <c r="A88" s="23" t="inlineStr">
        <is>
          <t>TC-084</t>
        </is>
      </c>
      <c r="B88" s="24" t="inlineStr"/>
      <c r="C88" s="24" t="inlineStr"/>
      <c r="D88" s="24" t="inlineStr"/>
      <c r="E88" s="24" t="inlineStr"/>
      <c r="F88" s="24" t="inlineStr"/>
      <c r="G88" s="24" t="inlineStr"/>
      <c r="H88" s="24" t="inlineStr"/>
      <c r="I88" s="24" t="inlineStr"/>
      <c r="J88" s="24" t="inlineStr"/>
    </row>
    <row r="89" ht="40" customHeight="1">
      <c r="A89" s="25" t="inlineStr">
        <is>
          <t>TC-085</t>
        </is>
      </c>
      <c r="B89" s="26" t="inlineStr"/>
      <c r="C89" s="26" t="inlineStr"/>
      <c r="D89" s="26" t="inlineStr"/>
      <c r="E89" s="26" t="inlineStr"/>
      <c r="F89" s="26" t="inlineStr"/>
      <c r="G89" s="26" t="inlineStr"/>
      <c r="H89" s="26" t="inlineStr"/>
      <c r="I89" s="26" t="inlineStr"/>
      <c r="J89" s="26" t="inlineStr"/>
    </row>
    <row r="90" ht="40" customHeight="1">
      <c r="A90" s="23" t="inlineStr">
        <is>
          <t>TC-086</t>
        </is>
      </c>
      <c r="B90" s="24" t="inlineStr"/>
      <c r="C90" s="24" t="inlineStr"/>
      <c r="D90" s="24" t="inlineStr"/>
      <c r="E90" s="24" t="inlineStr"/>
      <c r="F90" s="24" t="inlineStr"/>
      <c r="G90" s="24" t="inlineStr"/>
      <c r="H90" s="24" t="inlineStr"/>
      <c r="I90" s="24" t="inlineStr"/>
      <c r="J90" s="24" t="inlineStr"/>
    </row>
    <row r="91" ht="40" customHeight="1">
      <c r="A91" s="25" t="inlineStr">
        <is>
          <t>TC-087</t>
        </is>
      </c>
      <c r="B91" s="26" t="inlineStr"/>
      <c r="C91" s="26" t="inlineStr"/>
      <c r="D91" s="26" t="inlineStr"/>
      <c r="E91" s="26" t="inlineStr"/>
      <c r="F91" s="26" t="inlineStr"/>
      <c r="G91" s="26" t="inlineStr"/>
      <c r="H91" s="26" t="inlineStr"/>
      <c r="I91" s="26" t="inlineStr"/>
      <c r="J91" s="26" t="inlineStr"/>
    </row>
    <row r="92" ht="40" customHeight="1">
      <c r="A92" s="23" t="inlineStr">
        <is>
          <t>TC-088</t>
        </is>
      </c>
      <c r="B92" s="24" t="inlineStr"/>
      <c r="C92" s="24" t="inlineStr"/>
      <c r="D92" s="24" t="inlineStr"/>
      <c r="E92" s="24" t="inlineStr"/>
      <c r="F92" s="24" t="inlineStr"/>
      <c r="G92" s="24" t="inlineStr"/>
      <c r="H92" s="24" t="inlineStr"/>
      <c r="I92" s="24" t="inlineStr"/>
      <c r="J92" s="24" t="inlineStr"/>
    </row>
    <row r="93" ht="40" customHeight="1">
      <c r="A93" s="25" t="inlineStr">
        <is>
          <t>TC-089</t>
        </is>
      </c>
      <c r="B93" s="26" t="inlineStr"/>
      <c r="C93" s="26" t="inlineStr"/>
      <c r="D93" s="26" t="inlineStr"/>
      <c r="E93" s="26" t="inlineStr"/>
      <c r="F93" s="26" t="inlineStr"/>
      <c r="G93" s="26" t="inlineStr"/>
      <c r="H93" s="26" t="inlineStr"/>
      <c r="I93" s="26" t="inlineStr"/>
      <c r="J93" s="26" t="inlineStr"/>
    </row>
    <row r="94" ht="40" customHeight="1">
      <c r="A94" s="23" t="inlineStr">
        <is>
          <t>TC-090</t>
        </is>
      </c>
      <c r="B94" s="24" t="inlineStr"/>
      <c r="C94" s="24" t="inlineStr"/>
      <c r="D94" s="24" t="inlineStr"/>
      <c r="E94" s="24" t="inlineStr"/>
      <c r="F94" s="24" t="inlineStr"/>
      <c r="G94" s="24" t="inlineStr"/>
      <c r="H94" s="24" t="inlineStr"/>
      <c r="I94" s="24" t="inlineStr"/>
      <c r="J94" s="24" t="inlineStr"/>
    </row>
    <row r="95" ht="40" customHeight="1">
      <c r="A95" s="25" t="inlineStr">
        <is>
          <t>TC-091</t>
        </is>
      </c>
      <c r="B95" s="26" t="inlineStr"/>
      <c r="C95" s="26" t="inlineStr"/>
      <c r="D95" s="26" t="inlineStr"/>
      <c r="E95" s="26" t="inlineStr"/>
      <c r="F95" s="26" t="inlineStr"/>
      <c r="G95" s="26" t="inlineStr"/>
      <c r="H95" s="26" t="inlineStr"/>
      <c r="I95" s="26" t="inlineStr"/>
      <c r="J95" s="26" t="inlineStr"/>
    </row>
    <row r="96" ht="40" customHeight="1">
      <c r="A96" s="23" t="inlineStr">
        <is>
          <t>TC-092</t>
        </is>
      </c>
      <c r="B96" s="24" t="inlineStr"/>
      <c r="C96" s="24" t="inlineStr"/>
      <c r="D96" s="24" t="inlineStr"/>
      <c r="E96" s="24" t="inlineStr"/>
      <c r="F96" s="24" t="inlineStr"/>
      <c r="G96" s="24" t="inlineStr"/>
      <c r="H96" s="24" t="inlineStr"/>
      <c r="I96" s="24" t="inlineStr"/>
      <c r="J96" s="24" t="inlineStr"/>
    </row>
    <row r="97" ht="40" customHeight="1">
      <c r="A97" s="25" t="inlineStr">
        <is>
          <t>TC-093</t>
        </is>
      </c>
      <c r="B97" s="26" t="inlineStr"/>
      <c r="C97" s="26" t="inlineStr"/>
      <c r="D97" s="26" t="inlineStr"/>
      <c r="E97" s="26" t="inlineStr"/>
      <c r="F97" s="26" t="inlineStr"/>
      <c r="G97" s="26" t="inlineStr"/>
      <c r="H97" s="26" t="inlineStr"/>
      <c r="I97" s="26" t="inlineStr"/>
      <c r="J97" s="26" t="inlineStr"/>
    </row>
    <row r="98" ht="40" customHeight="1">
      <c r="A98" s="23" t="inlineStr">
        <is>
          <t>TC-094</t>
        </is>
      </c>
      <c r="B98" s="24" t="inlineStr"/>
      <c r="C98" s="24" t="inlineStr"/>
      <c r="D98" s="24" t="inlineStr"/>
      <c r="E98" s="24" t="inlineStr"/>
      <c r="F98" s="24" t="inlineStr"/>
      <c r="G98" s="24" t="inlineStr"/>
      <c r="H98" s="24" t="inlineStr"/>
      <c r="I98" s="24" t="inlineStr"/>
      <c r="J98" s="24" t="inlineStr"/>
    </row>
    <row r="99" ht="40" customHeight="1">
      <c r="A99" s="25" t="inlineStr">
        <is>
          <t>TC-095</t>
        </is>
      </c>
      <c r="B99" s="26" t="inlineStr"/>
      <c r="C99" s="26" t="inlineStr"/>
      <c r="D99" s="26" t="inlineStr"/>
      <c r="E99" s="26" t="inlineStr"/>
      <c r="F99" s="26" t="inlineStr"/>
      <c r="G99" s="26" t="inlineStr"/>
      <c r="H99" s="26" t="inlineStr"/>
      <c r="I99" s="26" t="inlineStr"/>
      <c r="J99" s="26" t="inlineStr"/>
    </row>
    <row r="100" ht="40" customHeight="1">
      <c r="A100" s="23" t="inlineStr">
        <is>
          <t>TC-096</t>
        </is>
      </c>
      <c r="B100" s="24" t="inlineStr"/>
      <c r="C100" s="24" t="inlineStr"/>
      <c r="D100" s="24" t="inlineStr"/>
      <c r="E100" s="24" t="inlineStr"/>
      <c r="F100" s="24" t="inlineStr"/>
      <c r="G100" s="24" t="inlineStr"/>
      <c r="H100" s="24" t="inlineStr"/>
      <c r="I100" s="24" t="inlineStr"/>
      <c r="J100" s="24" t="inlineStr"/>
    </row>
    <row r="101" ht="40" customHeight="1">
      <c r="A101" s="25" t="inlineStr">
        <is>
          <t>TC-097</t>
        </is>
      </c>
      <c r="B101" s="26" t="inlineStr"/>
      <c r="C101" s="26" t="inlineStr"/>
      <c r="D101" s="26" t="inlineStr"/>
      <c r="E101" s="26" t="inlineStr"/>
      <c r="F101" s="26" t="inlineStr"/>
      <c r="G101" s="26" t="inlineStr"/>
      <c r="H101" s="26" t="inlineStr"/>
      <c r="I101" s="26" t="inlineStr"/>
      <c r="J101" s="26" t="inlineStr"/>
    </row>
    <row r="102" ht="40" customHeight="1">
      <c r="A102" s="23" t="inlineStr">
        <is>
          <t>TC-098</t>
        </is>
      </c>
      <c r="B102" s="24" t="inlineStr"/>
      <c r="C102" s="24" t="inlineStr"/>
      <c r="D102" s="24" t="inlineStr"/>
      <c r="E102" s="24" t="inlineStr"/>
      <c r="F102" s="24" t="inlineStr"/>
      <c r="G102" s="24" t="inlineStr"/>
      <c r="H102" s="24" t="inlineStr"/>
      <c r="I102" s="24" t="inlineStr"/>
      <c r="J102" s="24" t="inlineStr"/>
    </row>
    <row r="103" ht="40" customHeight="1">
      <c r="A103" s="25" t="inlineStr">
        <is>
          <t>TC-099</t>
        </is>
      </c>
      <c r="B103" s="26" t="inlineStr"/>
      <c r="C103" s="26" t="inlineStr"/>
      <c r="D103" s="26" t="inlineStr"/>
      <c r="E103" s="26" t="inlineStr"/>
      <c r="F103" s="26" t="inlineStr"/>
      <c r="G103" s="26" t="inlineStr"/>
      <c r="H103" s="26" t="inlineStr"/>
      <c r="I103" s="26" t="inlineStr"/>
      <c r="J103" s="26" t="inlineStr"/>
    </row>
    <row r="104" ht="40" customHeight="1">
      <c r="A104" s="23" t="inlineStr">
        <is>
          <t>TC-100</t>
        </is>
      </c>
      <c r="B104" s="24" t="inlineStr"/>
      <c r="C104" s="24" t="inlineStr"/>
      <c r="D104" s="24" t="inlineStr"/>
      <c r="E104" s="24" t="inlineStr"/>
      <c r="F104" s="24" t="inlineStr"/>
      <c r="G104" s="24" t="inlineStr"/>
      <c r="H104" s="24" t="inlineStr"/>
      <c r="I104" s="24" t="inlineStr"/>
      <c r="J104" s="24" t="inlineStr"/>
    </row>
    <row r="105" ht="22" customHeight="1">
      <c r="A105" s="27">
        <f>COUNTIF(G5:G104,"Pass")&amp;" Pass  |  "&amp;COUNTIF(G5:G104,"Fail")&amp;" Fail  |  "&amp;COUNTIF(G5:G104,"Blocked")&amp;" Blocked  |  "&amp;COUNTIF(G5:G104,"Not Run")&amp;" Not Run"</f>
        <v/>
      </c>
      <c r="F105" s="27">
        <f>"Pass Rate: "&amp;TEXT(IFERROR(COUNTIF(G5:G104,"Pass")/(COUNTIF(G5:G104,"Pass")+COUNTIF(G5:G104,"Fail")),0),"0%")</f>
        <v/>
      </c>
      <c r="H105" s="28" t="inlineStr">
        <is>
          <t>by Bishal Khatri | mrbishalkhatri.github.io</t>
        </is>
      </c>
    </row>
  </sheetData>
  <mergeCells count="5">
    <mergeCell ref="A105:E105"/>
    <mergeCell ref="A1:J1"/>
    <mergeCell ref="H105:J105"/>
    <mergeCell ref="A2:J2"/>
    <mergeCell ref="F105:G105"/>
  </mergeCells>
  <conditionalFormatting sqref="A5:J200">
    <cfRule type="expression" priority="1" dxfId="0">
      <formula>$G5="Pass"</formula>
    </cfRule>
    <cfRule type="expression" priority="2" dxfId="1">
      <formula>$G5="Fail"</formula>
    </cfRule>
    <cfRule type="expression" priority="3" dxfId="2">
      <formula>$G5="Blocked"</formula>
    </cfRule>
    <cfRule type="expression" priority="4" dxfId="3">
      <formula>$G5="Skip"</formula>
    </cfRule>
  </conditionalFormatting>
  <conditionalFormatting sqref="H5:H200">
    <cfRule type="expression" priority="5" dxfId="4">
      <formula>$H5="Critical"</formula>
    </cfRule>
    <cfRule type="expression" priority="6" dxfId="5">
      <formula>$H5="High"</formula>
    </cfRule>
    <cfRule type="expression" priority="7" dxfId="6">
      <formula>$H5="Medium"</formula>
    </cfRule>
    <cfRule type="expression" priority="8" dxfId="7">
      <formula>$H5="Low"</formula>
    </cfRule>
  </conditionalFormatting>
  <dataValidations count="3">
    <dataValidation sqref="G5:G200" showDropDown="0" showInputMessage="0" showErrorMessage="1" allowBlank="0" errorTitle="Invalid Status" error="Choose: Pass, Fail, Blocked, Skip, or Not Run" type="list">
      <formula1>"Pass,Fail,Blocked,Skip,Not Run"</formula1>
    </dataValidation>
    <dataValidation sqref="H5:H200" showDropDown="0" showInputMessage="0" showErrorMessage="1" allowBlank="0" errorTitle="Invalid Priority" error="Choose: Critical, High, Medium, or Low" type="list">
      <formula1>"Critical,High,Medium,Low"</formula1>
    </dataValidation>
    <dataValidation sqref="I5:I200" showDropDown="0" showInputMessage="0" showErrorMessage="1" allowBlank="0" errorTitle="Invalid Type" error="Choose a valid test type from the list" type="list">
      <formula1>"Functional,Negative,Boundary,Integration,UI,Performance,Security,Regression,Smoke"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963E"/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20" customHeight="1"/>
    <row r="2" ht="30" customHeight="1">
      <c r="B2" s="29" t="inlineStr">
        <is>
          <t>TEST EXECUTION DASHBOARD</t>
        </is>
      </c>
    </row>
    <row r="3" ht="16" customHeight="1">
      <c r="B3" s="15" t="inlineStr">
        <is>
          <t>Auto-calculated from Test Cases sheet · No manual entry needed</t>
        </is>
      </c>
    </row>
    <row r="4" ht="20" customHeight="1"/>
    <row r="5" ht="20" customHeight="1">
      <c r="B5" s="30" t="inlineStr">
        <is>
          <t>Total Test Cases</t>
        </is>
      </c>
      <c r="C5" s="31" t="inlineStr">
        <is>
          <t>✅ Pass</t>
        </is>
      </c>
      <c r="D5" s="32" t="inlineStr">
        <is>
          <t>❌ Fail</t>
        </is>
      </c>
      <c r="E5" s="33" t="inlineStr">
        <is>
          <t>🔒 Blocked</t>
        </is>
      </c>
      <c r="F5" s="34" t="inlineStr">
        <is>
          <t>⏭ Skip</t>
        </is>
      </c>
    </row>
    <row r="6" ht="32" customHeight="1">
      <c r="B6" s="35">
        <f>COUNTA('Test Cases'!A5:A200)-COUNTBLANK('Test Cases'!A5:A200)</f>
        <v/>
      </c>
      <c r="C6" s="36">
        <f>COUNTIF('Test Cases'!G5:G200,"Pass")</f>
        <v/>
      </c>
      <c r="D6" s="37">
        <f>COUNTIF('Test Cases'!G5:G200,"Fail")</f>
        <v/>
      </c>
      <c r="E6" s="38">
        <f>COUNTIF('Test Cases'!G5:G200,"Blocked")</f>
        <v/>
      </c>
      <c r="F6" s="39">
        <f>COUNTIF('Test Cases'!G5:G200,"Skip")</f>
        <v/>
      </c>
    </row>
    <row r="7" ht="20" customHeight="1"/>
    <row r="8" ht="20" customHeight="1"/>
    <row r="9" ht="20" customHeight="1">
      <c r="B9" s="40" t="inlineStr">
        <is>
          <t>⬜ Not Run</t>
        </is>
      </c>
    </row>
    <row r="10" ht="32" customHeight="1">
      <c r="B10" s="35">
        <f>COUNTIF('Test Cases'!G5:G200,"Not Run")</f>
        <v/>
      </c>
    </row>
    <row r="11" ht="20" customHeight="1"/>
    <row r="12" ht="20" customHeight="1"/>
    <row r="13" ht="20" customHeight="1">
      <c r="B13" s="41" t="inlineStr">
        <is>
          <t>Overall Pass Rate</t>
        </is>
      </c>
    </row>
    <row r="14" ht="36" customHeight="1">
      <c r="B14" s="42">
        <f>TEXT(IFERROR(COUNTIF('Test Cases'!G5:G200,"Pass")/(COUNTIF('Test Cases'!G5:G200,"Pass")+COUNTIF('Test Cases'!G5:G200,"Fail")),0),"0.0%")&amp;"  ("&amp;COUNTIF('Test Cases'!G5:G200,"Pass")&amp;" passed of "&amp;(COUNTIF('Test Cases'!G5:G200,"Pass")+COUNTIF('Test Cases'!G5:G200,"Fail"))&amp;" executed)"</f>
        <v/>
      </c>
    </row>
    <row r="15" ht="20" customHeight="1"/>
    <row r="16" ht="20" customHeight="1"/>
    <row r="17" ht="20" customHeight="1">
      <c r="B17" s="41" t="inlineStr">
        <is>
          <t>Breakdown by Priority</t>
        </is>
      </c>
    </row>
    <row r="18" ht="18" customHeight="1">
      <c r="B18" s="43" t="inlineStr">
        <is>
          <t>Priority</t>
        </is>
      </c>
      <c r="C18" s="43" t="inlineStr">
        <is>
          <t>Total</t>
        </is>
      </c>
      <c r="D18" s="43" t="inlineStr">
        <is>
          <t>Pass</t>
        </is>
      </c>
      <c r="E18" s="43" t="inlineStr">
        <is>
          <t>Fail</t>
        </is>
      </c>
      <c r="F18" s="43" t="inlineStr">
        <is>
          <t>Not Run</t>
        </is>
      </c>
    </row>
    <row r="19" ht="18" customHeight="1">
      <c r="B19" s="44" t="inlineStr">
        <is>
          <t>Critical</t>
        </is>
      </c>
      <c r="C19" s="45">
        <f>COUNTIF('Test Cases'!H5:H200,"Critical")</f>
        <v/>
      </c>
      <c r="D19" s="45">
        <f>COUNTIFS('Test Cases'!H5:H200,"Critical",'Test Cases'!G5:G200,"Pass")</f>
        <v/>
      </c>
      <c r="E19" s="45">
        <f>COUNTIFS('Test Cases'!H5:H200,"Critical",'Test Cases'!G5:G200,"Fail")</f>
        <v/>
      </c>
      <c r="F19" s="45">
        <f>COUNTIFS('Test Cases'!H5:H200,"Critical",'Test Cases'!G5:G200,"Not Run")</f>
        <v/>
      </c>
    </row>
    <row r="20" ht="18" customHeight="1">
      <c r="B20" s="46" t="inlineStr">
        <is>
          <t>High</t>
        </is>
      </c>
      <c r="C20" s="47">
        <f>COUNTIF('Test Cases'!H5:H200,"High")</f>
        <v/>
      </c>
      <c r="D20" s="47">
        <f>COUNTIFS('Test Cases'!H5:H200,"High",'Test Cases'!G5:G200,"Pass")</f>
        <v/>
      </c>
      <c r="E20" s="47">
        <f>COUNTIFS('Test Cases'!H5:H200,"High",'Test Cases'!G5:G200,"Fail")</f>
        <v/>
      </c>
      <c r="F20" s="47">
        <f>COUNTIFS('Test Cases'!H5:H200,"High",'Test Cases'!G5:G200,"Not Run")</f>
        <v/>
      </c>
    </row>
    <row r="21" ht="18" customHeight="1">
      <c r="B21" s="48" t="inlineStr">
        <is>
          <t>Medium</t>
        </is>
      </c>
      <c r="C21" s="49">
        <f>COUNTIF('Test Cases'!H5:H200,"Medium")</f>
        <v/>
      </c>
      <c r="D21" s="49">
        <f>COUNTIFS('Test Cases'!H5:H200,"Medium",'Test Cases'!G5:G200,"Pass")</f>
        <v/>
      </c>
      <c r="E21" s="49">
        <f>COUNTIFS('Test Cases'!H5:H200,"Medium",'Test Cases'!G5:G200,"Fail")</f>
        <v/>
      </c>
      <c r="F21" s="49">
        <f>COUNTIFS('Test Cases'!H5:H200,"Medium",'Test Cases'!G5:G200,"Not Run")</f>
        <v/>
      </c>
    </row>
    <row r="22" ht="18" customHeight="1">
      <c r="B22" s="50" t="inlineStr">
        <is>
          <t>Low</t>
        </is>
      </c>
      <c r="C22" s="51">
        <f>COUNTIF('Test Cases'!H5:H200,"Low")</f>
        <v/>
      </c>
      <c r="D22" s="51">
        <f>COUNTIFS('Test Cases'!H5:H200,"Low",'Test Cases'!G5:G200,"Pass")</f>
        <v/>
      </c>
      <c r="E22" s="51">
        <f>COUNTIFS('Test Cases'!H5:H200,"Low",'Test Cases'!G5:G200,"Fail")</f>
        <v/>
      </c>
      <c r="F22" s="51">
        <f>COUNTIFS('Test Cases'!H5:H200,"Low",'Test Cases'!G5:G200,"Not Run")</f>
        <v/>
      </c>
    </row>
    <row r="23" ht="20" customHeight="1"/>
    <row r="24" ht="20" customHeight="1"/>
    <row r="25" ht="20" customHeight="1">
      <c r="B25" s="28" t="inlineStr">
        <is>
          <t>💡 This dashboard auto-updates as you fill in the Test Cases sheet. No formulas to edit.</t>
        </is>
      </c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6">
    <mergeCell ref="B2:F2"/>
    <mergeCell ref="B25:F25"/>
    <mergeCell ref="B3:F3"/>
    <mergeCell ref="B14:F14"/>
    <mergeCell ref="B17:F17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888"/>
    <outlinePr summaryBelow="1" summaryRight="1"/>
    <pageSetUpPr/>
  </sheetPr>
  <dimension ref="B2:C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55" customWidth="1" min="3" max="3"/>
    <col width="2" customWidth="1" min="4" max="4"/>
  </cols>
  <sheetData>
    <row r="2" ht="28" customHeight="1">
      <c r="B2" s="52" t="inlineStr">
        <is>
          <t>HOW TO WRITE GREAT TEST CASES</t>
        </is>
      </c>
    </row>
    <row r="4" ht="18" customHeight="1">
      <c r="B4" s="53" t="inlineStr">
        <is>
          <t>TC-ID</t>
        </is>
      </c>
    </row>
    <row r="5" ht="52" customHeight="1">
      <c r="B5" s="22" t="inlineStr">
        <is>
          <t>Use sequential IDs: TC-001, TC-002, TC-003...
Group by module: LOGIN-001, PAYROLL-001</t>
        </is>
      </c>
    </row>
    <row r="6" ht="6" customHeight="1"/>
    <row r="7" ht="18" customHeight="1">
      <c r="B7" s="54" t="inlineStr">
        <is>
          <t>Test Scenario</t>
        </is>
      </c>
    </row>
    <row r="8" ht="52" customHeight="1">
      <c r="B8" s="55" t="inlineStr">
        <is>
          <t>Format: [Module] Action — Expected Outcome
Example: '[Login] Valid credentials — Redirect to dashboard'
Bad: 'Test login'. Good: '[Login] Valid email+password redirects to /dashboard'</t>
        </is>
      </c>
    </row>
    <row r="9" ht="6" customHeight="1"/>
    <row r="10" ht="18" customHeight="1">
      <c r="B10" s="53" t="inlineStr">
        <is>
          <t>Preconditions</t>
        </is>
      </c>
    </row>
    <row r="11" ht="52" customHeight="1">
      <c r="B11" s="22" t="inlineStr">
        <is>
          <t>State everything that must be TRUE before running the test.
Example: 'User account exists, app deployed to QA environment, test data loaded'
If nothing required: write 'None'</t>
        </is>
      </c>
    </row>
    <row r="12" ht="6" customHeight="1"/>
    <row r="13" ht="18" customHeight="1">
      <c r="B13" s="54" t="inlineStr">
        <is>
          <t>Test Steps</t>
        </is>
      </c>
    </row>
    <row r="14" ht="52" customHeight="1">
      <c r="B14" s="55" t="inlineStr">
        <is>
          <t>Number each step. One user action per step.
Bad: 'Log in and go to dashboard'
Good:
1. Navigate to /login
2. Enter email: test@example.com
3. Enter password: Test@123
4. Click Login button</t>
        </is>
      </c>
    </row>
    <row r="15" ht="6" customHeight="1"/>
    <row r="16" ht="18" customHeight="1">
      <c r="B16" s="53" t="inlineStr">
        <is>
          <t>Expected Result</t>
        </is>
      </c>
    </row>
    <row r="17" ht="52" customHeight="1">
      <c r="B17" s="22" t="inlineStr">
        <is>
          <t>Must be specific, measurable, and verifiable.
Bad: 'Login should work'
Good: 'User redirected to /dashboard. URL = /dashboard. Welcome message shown.'</t>
        </is>
      </c>
    </row>
    <row r="18" ht="6" customHeight="1"/>
    <row r="19" ht="18" customHeight="1">
      <c r="B19" s="54" t="inlineStr">
        <is>
          <t>Actual Result</t>
        </is>
      </c>
    </row>
    <row r="20" ht="52" customHeight="1">
      <c r="B20" s="55" t="inlineStr">
        <is>
          <t>Fill ONLY during test execution.
If Pass: leave blank or write 'As expected'
If Fail: describe exactly what happened differently</t>
        </is>
      </c>
    </row>
    <row r="21" ht="6" customHeight="1"/>
    <row r="22" ht="18" customHeight="1">
      <c r="B22" s="53" t="inlineStr">
        <is>
          <t>Status</t>
        </is>
      </c>
    </row>
    <row r="23" ht="52" customHeight="1">
      <c r="B23" s="22" t="inlineStr">
        <is>
          <t>Pass — test passed exactly as expected
Fail — actual result differs from expected
Blocked — cannot run (env down, dependency missing)
Skip — intentionally not run this cycle
Not Run — not yet executed (default)</t>
        </is>
      </c>
    </row>
    <row r="24" ht="6" customHeight="1"/>
    <row r="25" ht="18" customHeight="1">
      <c r="B25" s="54" t="inlineStr">
        <is>
          <t>Priority</t>
        </is>
      </c>
    </row>
    <row r="26" ht="52" customHeight="1">
      <c r="B26" s="55" t="inlineStr">
        <is>
          <t>Critical — must test, blocks release if failed
High — should test every sprint
Medium — test when time allows
Low — nice to have, cosmetic</t>
        </is>
      </c>
    </row>
    <row r="27" ht="6" customHeight="1"/>
    <row r="28" ht="18" customHeight="1">
      <c r="B28" s="53" t="inlineStr">
        <is>
          <t>Type</t>
        </is>
      </c>
    </row>
    <row r="29" ht="52" customHeight="1">
      <c r="B29" s="22" t="inlineStr">
        <is>
          <t>Functional — does it work per requirements?
Negative — does it handle bad input correctly?
Boundary — values at the edges of valid range?
Security — authentication, authorisation, injection?
Regression — does old functionality still work?</t>
        </is>
      </c>
    </row>
    <row r="30" ht="6" customHeight="1"/>
    <row r="31" ht="18" customHeight="1">
      <c r="B31" s="54" t="inlineStr">
        <is>
          <t>Pro Tips</t>
        </is>
      </c>
    </row>
    <row r="32" ht="52" customHeight="1">
      <c r="B32" s="55" t="inlineStr">
        <is>
          <t>✓ Write Expected Result BEFORE writing Steps
✓ One test case = one thing to verify (atomic)
✓ If two testers get different results, the test case is broken
✓ Use real test data, not vague placeholders
✓ Negative tests are as important as positive tests</t>
        </is>
      </c>
    </row>
    <row r="33" ht="6" customHeight="1"/>
    <row r="36" ht="20" customHeight="1">
      <c r="B36" s="56" t="inlineStr">
        <is>
          <t>Get more free QA templates at mrbishalkhatri.github.io/templates.html</t>
        </is>
      </c>
    </row>
  </sheetData>
  <mergeCells count="2">
    <mergeCell ref="B36:C36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2026-06-08T06:35:15Z</dcterms:created>
  <dcterms:modified xmlns:dcterms="http://purl.org/dc/terms/" xmlns:xsi="http://www.w3.org/2001/XMLSchema-instance" xsi:type="dcterms:W3CDTF">2026-06-08T06:35:16Z</dcterms:modified>
</cp:coreProperties>
</file>